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Tamanna kumari\OneDrive\Desktop\all projects\Excel_Project_Portfolio\2. Pivot_Charts\"/>
    </mc:Choice>
  </mc:AlternateContent>
  <xr:revisionPtr revIDLastSave="0" documentId="13_ncr:1_{BB62E601-A906-43E9-AFE6-8E4FC0E8E9A0}" xr6:coauthVersionLast="47" xr6:coauthVersionMax="47" xr10:uidLastSave="{00000000-0000-0000-0000-000000000000}"/>
  <bookViews>
    <workbookView xWindow="-110" yWindow="-110" windowWidth="19420" windowHeight="10300" tabRatio="698" activeTab="1" xr2:uid="{23788A2F-C933-415D-9655-3FA2F7EB217E}"/>
  </bookViews>
  <sheets>
    <sheet name="Raw_Data" sheetId="1" r:id="rId1"/>
    <sheet name="All-Pivot-Chart" sheetId="10" r:id="rId2"/>
    <sheet name="Salesman vs Total Sales" sheetId="3" r:id="rId3"/>
    <sheet name="Department vs Total Sales" sheetId="6" r:id="rId4"/>
    <sheet name="Salesman vs Years Sales" sheetId="5" r:id="rId5"/>
    <sheet name="Depart-Salesman vs Total Sales" sheetId="7" r:id="rId6"/>
    <sheet name="Region vs Years Sales" sheetId="8" r:id="rId7"/>
    <sheet name="Dep-Salesman-Reg vs TotalSales " sheetId="9" r:id="rId8"/>
  </sheets>
  <definedNames>
    <definedName name="Slicer_Region">#N/A</definedName>
    <definedName name="Slicer_Salesma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 i="1" l="1"/>
  <c r="I5" i="1"/>
  <c r="I6" i="1"/>
  <c r="I7" i="1"/>
  <c r="I8" i="1"/>
  <c r="I9" i="1"/>
  <c r="I10" i="1"/>
  <c r="I11" i="1"/>
  <c r="I3" i="1"/>
</calcChain>
</file>

<file path=xl/sharedStrings.xml><?xml version="1.0" encoding="utf-8"?>
<sst xmlns="http://schemas.openxmlformats.org/spreadsheetml/2006/main" count="125" uniqueCount="38">
  <si>
    <t>Region</t>
  </si>
  <si>
    <t>State</t>
  </si>
  <si>
    <t>Department</t>
  </si>
  <si>
    <t>Sale 2022</t>
  </si>
  <si>
    <t>Sale 2023</t>
  </si>
  <si>
    <t>Total Sales</t>
  </si>
  <si>
    <t>North</t>
  </si>
  <si>
    <t>East</t>
  </si>
  <si>
    <t>West</t>
  </si>
  <si>
    <t>Punjab</t>
  </si>
  <si>
    <t>Goa</t>
  </si>
  <si>
    <t>Bihar</t>
  </si>
  <si>
    <t>Gujarat</t>
  </si>
  <si>
    <t>Haryana</t>
  </si>
  <si>
    <t>Jharkhand</t>
  </si>
  <si>
    <t>Garments</t>
  </si>
  <si>
    <t>Electronics</t>
  </si>
  <si>
    <t>Furniture</t>
  </si>
  <si>
    <t>Ram</t>
  </si>
  <si>
    <t>Shyam</t>
  </si>
  <si>
    <t>Om</t>
  </si>
  <si>
    <t>Raman</t>
  </si>
  <si>
    <t>Deepak</t>
  </si>
  <si>
    <t>Rihan</t>
  </si>
  <si>
    <t>Anil</t>
  </si>
  <si>
    <t>Salesman</t>
  </si>
  <si>
    <t>Grand Total</t>
  </si>
  <si>
    <t>Sum of Total Sales</t>
  </si>
  <si>
    <t>Sum of Sale 2022</t>
  </si>
  <si>
    <t>Sum of Sale 2023</t>
  </si>
  <si>
    <t>Departments</t>
  </si>
  <si>
    <t>Salesman_by_department</t>
  </si>
  <si>
    <t>Department_by_Salesman</t>
  </si>
  <si>
    <t>PIVOT_TABLE</t>
  </si>
  <si>
    <t>PIVOT_CHART</t>
  </si>
  <si>
    <t>X`</t>
  </si>
  <si>
    <t>SLICER</t>
  </si>
  <si>
    <t>PIVOT_CHART BASED ON DIFFERENT SCENARIO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</si>
</sst>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8"/>
      <color theme="1"/>
      <name val="Calibri"/>
      <family val="2"/>
      <scheme val="minor"/>
    </font>
    <font>
      <b/>
      <sz val="18"/>
      <color theme="0"/>
      <name val="Calibri"/>
      <family val="2"/>
      <scheme val="minor"/>
    </font>
    <font>
      <sz val="12"/>
      <color theme="1"/>
      <name val="Calibri"/>
      <family val="2"/>
      <scheme val="minor"/>
    </font>
    <font>
      <sz val="14"/>
      <color theme="1"/>
      <name val="Calibri"/>
      <family val="2"/>
      <scheme val="minor"/>
    </font>
    <font>
      <sz val="20"/>
      <color theme="1"/>
      <name val="Calibri"/>
      <family val="2"/>
      <scheme val="minor"/>
    </font>
    <font>
      <sz val="16"/>
      <color theme="1"/>
      <name val="Algerian"/>
      <family val="5"/>
    </font>
  </fonts>
  <fills count="10">
    <fill>
      <patternFill patternType="none"/>
    </fill>
    <fill>
      <patternFill patternType="gray125"/>
    </fill>
    <fill>
      <patternFill patternType="solid">
        <fgColor rgb="FF00B050"/>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3">
    <xf numFmtId="0" fontId="0" fillId="0" borderId="0" xfId="0"/>
    <xf numFmtId="0" fontId="1" fillId="4" borderId="1" xfId="0" applyFont="1" applyFill="1" applyBorder="1"/>
    <xf numFmtId="0" fontId="1" fillId="5" borderId="1" xfId="0" applyFont="1" applyFill="1" applyBorder="1"/>
    <xf numFmtId="0" fontId="1" fillId="6" borderId="1" xfId="0" applyFont="1" applyFill="1" applyBorder="1"/>
    <xf numFmtId="0" fontId="1" fillId="7" borderId="1" xfId="0" applyFont="1" applyFill="1" applyBorder="1"/>
    <xf numFmtId="0" fontId="1" fillId="8" borderId="2" xfId="0" applyFont="1" applyFill="1" applyBorder="1"/>
    <xf numFmtId="0" fontId="1" fillId="3" borderId="3" xfId="0" applyFont="1" applyFill="1" applyBorder="1"/>
    <xf numFmtId="0" fontId="2" fillId="2" borderId="4" xfId="0" applyFont="1" applyFill="1" applyBorder="1"/>
    <xf numFmtId="0" fontId="2" fillId="2" borderId="5" xfId="0" applyFont="1" applyFill="1" applyBorder="1"/>
    <xf numFmtId="0" fontId="2" fillId="2" borderId="6" xfId="0" applyFont="1" applyFill="1" applyBorder="1"/>
    <xf numFmtId="0" fontId="1" fillId="8" borderId="7" xfId="0" applyFont="1" applyFill="1" applyBorder="1"/>
    <xf numFmtId="0" fontId="1" fillId="7" borderId="8" xfId="0" applyFont="1" applyFill="1" applyBorder="1"/>
    <xf numFmtId="0" fontId="1" fillId="5" borderId="8" xfId="0" applyFont="1" applyFill="1" applyBorder="1"/>
    <xf numFmtId="0" fontId="1" fillId="6" borderId="8" xfId="0" applyFont="1" applyFill="1" applyBorder="1"/>
    <xf numFmtId="0" fontId="1" fillId="4" borderId="8" xfId="0" applyFont="1" applyFill="1" applyBorder="1"/>
    <xf numFmtId="0" fontId="1" fillId="3" borderId="9" xfId="0" applyFont="1"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center"/>
    </xf>
    <xf numFmtId="0" fontId="0" fillId="0" borderId="0" xfId="0" pivotButton="1" applyAlignment="1">
      <alignment horizontal="center"/>
    </xf>
    <xf numFmtId="0" fontId="3" fillId="0" borderId="0" xfId="0" applyFont="1"/>
    <xf numFmtId="0" fontId="3" fillId="0" borderId="0" xfId="0" pivotButton="1" applyFont="1"/>
    <xf numFmtId="0" fontId="3" fillId="0" borderId="0" xfId="0" applyFont="1" applyAlignment="1">
      <alignment horizontal="left"/>
    </xf>
    <xf numFmtId="0" fontId="4" fillId="0" borderId="0" xfId="0" applyFont="1"/>
    <xf numFmtId="0" fontId="4" fillId="0" borderId="0" xfId="0" pivotButton="1" applyFont="1"/>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center"/>
    </xf>
    <xf numFmtId="0" fontId="5" fillId="0" borderId="0" xfId="0" applyFont="1" applyAlignment="1">
      <alignment horizontal="center"/>
    </xf>
    <xf numFmtId="0" fontId="0" fillId="9" borderId="0" xfId="0" applyFill="1"/>
    <xf numFmtId="0" fontId="6" fillId="9" borderId="0" xfId="0" applyFont="1" applyFill="1"/>
    <xf numFmtId="0" fontId="6" fillId="9" borderId="0" xfId="0" applyFont="1" applyFill="1" applyAlignment="1">
      <alignment horizontal="center"/>
    </xf>
  </cellXfs>
  <cellStyles count="1">
    <cellStyle name="Normal" xfId="0" builtinId="0"/>
  </cellStyles>
  <dxfs count="46">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alignment horizontal="center"/>
    </dxf>
    <dxf>
      <alignment horizontal="center"/>
    </dxf>
    <dxf>
      <font>
        <b val="0"/>
        <i val="0"/>
        <strike val="0"/>
        <condense val="0"/>
        <extend val="0"/>
        <outline val="0"/>
        <shadow val="0"/>
        <u val="none"/>
        <vertAlign val="baseline"/>
        <sz val="18"/>
        <color theme="1"/>
        <name val="Calibri"/>
        <family val="2"/>
        <scheme val="minor"/>
      </font>
      <fill>
        <patternFill patternType="solid">
          <fgColor indexed="64"/>
          <bgColor theme="9" tint="0.59999389629810485"/>
        </patternFill>
      </fil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8"/>
        <color theme="1"/>
        <name val="Calibri"/>
        <family val="2"/>
        <scheme val="minor"/>
      </font>
      <fill>
        <patternFill patternType="solid">
          <fgColor indexed="64"/>
          <bgColor theme="7" tint="0.5999938962981048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8"/>
        <color theme="1"/>
        <name val="Calibri"/>
        <family val="2"/>
        <scheme val="minor"/>
      </font>
      <fill>
        <patternFill patternType="solid">
          <fgColor indexed="64"/>
          <bgColor theme="8" tint="0.5999938962981048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8"/>
        <color theme="1"/>
        <name val="Calibri"/>
        <family val="2"/>
        <scheme val="minor"/>
      </font>
      <fill>
        <patternFill patternType="solid">
          <fgColor indexed="64"/>
          <bgColor theme="5"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8"/>
        <color theme="1"/>
        <name val="Calibri"/>
        <family val="2"/>
        <scheme val="minor"/>
      </font>
      <fill>
        <patternFill patternType="solid">
          <fgColor indexed="64"/>
          <bgColor theme="8" tint="0.5999938962981048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8"/>
        <color theme="1"/>
        <name val="Calibri"/>
        <family val="2"/>
        <scheme val="minor"/>
      </font>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8"/>
        <color theme="1"/>
        <name val="Calibri"/>
        <family val="2"/>
        <scheme val="minor"/>
      </font>
      <fill>
        <patternFill patternType="solid">
          <fgColor indexed="64"/>
          <bgColor theme="2" tint="-9.9978637043366805E-2"/>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8"/>
        <color theme="0"/>
        <name val="Calibri"/>
        <family val="2"/>
        <scheme val="minor"/>
      </font>
      <fill>
        <patternFill patternType="solid">
          <fgColor indexed="64"/>
          <bgColor rgb="FF00B050"/>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Chart.xlsx]Salesman vs Total Sales!PivotTable2</c:name>
    <c:fmtId val="7"/>
  </c:pivotSource>
  <c:chart>
    <c:title>
      <c:tx>
        <c:rich>
          <a:bodyPr rot="0" spcFirstLastPara="1" vertOverflow="ellipsis" vert="horz" wrap="square" anchor="ctr" anchorCtr="1"/>
          <a:lstStyle/>
          <a:p>
            <a:pPr>
              <a:defRPr sz="1200" b="1" i="0" u="none" strike="noStrike" kern="1200" cap="none" spc="0" normalizeH="0" baseline="0">
                <a:solidFill>
                  <a:schemeClr val="tx1">
                    <a:lumMod val="65000"/>
                    <a:lumOff val="35000"/>
                  </a:schemeClr>
                </a:solidFill>
                <a:latin typeface="+mj-lt"/>
                <a:ea typeface="+mj-ea"/>
                <a:cs typeface="+mj-cs"/>
              </a:defRPr>
            </a:pPr>
            <a:r>
              <a:rPr lang="en-US" sz="1200" b="1"/>
              <a:t>Total</a:t>
            </a:r>
            <a:r>
              <a:rPr lang="en-US" sz="1200" b="1" baseline="0"/>
              <a:t>_Sale_By_Salesman</a:t>
            </a:r>
            <a:endParaRPr lang="en-US" sz="1200" b="1"/>
          </a:p>
        </c:rich>
      </c:tx>
      <c:overlay val="0"/>
      <c:spPr>
        <a:noFill/>
        <a:ln>
          <a:noFill/>
        </a:ln>
        <a:effectLst/>
      </c:spPr>
      <c:txPr>
        <a:bodyPr rot="0" spcFirstLastPara="1" vertOverflow="ellipsis" vert="horz" wrap="square" anchor="ctr" anchorCtr="1"/>
        <a:lstStyle/>
        <a:p>
          <a:pPr>
            <a:defRPr sz="1200" b="1"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'Salesman vs Total Sales'!$F$4</c:f>
              <c:strCache>
                <c:ptCount val="1"/>
                <c:pt idx="0">
                  <c:v>Total</c:v>
                </c:pt>
              </c:strCache>
            </c:strRef>
          </c:tx>
          <c:spPr>
            <a:solidFill>
              <a:schemeClr val="accent1"/>
            </a:solidFill>
            <a:ln>
              <a:noFill/>
            </a:ln>
            <a:effectLst/>
            <a:sp3d/>
          </c:spPr>
          <c:invertIfNegative val="0"/>
          <c:cat>
            <c:strRef>
              <c:f>'Salesman vs Total Sales'!$E$5:$E$12</c:f>
              <c:strCache>
                <c:ptCount val="7"/>
                <c:pt idx="0">
                  <c:v>Anil</c:v>
                </c:pt>
                <c:pt idx="1">
                  <c:v>Deepak</c:v>
                </c:pt>
                <c:pt idx="2">
                  <c:v>Om</c:v>
                </c:pt>
                <c:pt idx="3">
                  <c:v>Ram</c:v>
                </c:pt>
                <c:pt idx="4">
                  <c:v>Raman</c:v>
                </c:pt>
                <c:pt idx="5">
                  <c:v>Rihan</c:v>
                </c:pt>
                <c:pt idx="6">
                  <c:v>Shyam</c:v>
                </c:pt>
              </c:strCache>
            </c:strRef>
          </c:cat>
          <c:val>
            <c:numRef>
              <c:f>'Salesman vs Total Sales'!$F$5:$F$12</c:f>
              <c:numCache>
                <c:formatCode>General</c:formatCode>
                <c:ptCount val="7"/>
                <c:pt idx="0">
                  <c:v>2040</c:v>
                </c:pt>
                <c:pt idx="1">
                  <c:v>2550</c:v>
                </c:pt>
                <c:pt idx="2">
                  <c:v>7814</c:v>
                </c:pt>
                <c:pt idx="3">
                  <c:v>4800</c:v>
                </c:pt>
                <c:pt idx="4">
                  <c:v>3332</c:v>
                </c:pt>
                <c:pt idx="5">
                  <c:v>3500</c:v>
                </c:pt>
                <c:pt idx="6">
                  <c:v>3200</c:v>
                </c:pt>
              </c:numCache>
            </c:numRef>
          </c:val>
          <c:extLst>
            <c:ext xmlns:c16="http://schemas.microsoft.com/office/drawing/2014/chart" uri="{C3380CC4-5D6E-409C-BE32-E72D297353CC}">
              <c16:uniqueId val="{00000000-90E1-4012-935D-53D61ABA5C59}"/>
            </c:ext>
          </c:extLst>
        </c:ser>
        <c:dLbls>
          <c:showLegendKey val="0"/>
          <c:showVal val="0"/>
          <c:showCatName val="0"/>
          <c:showSerName val="0"/>
          <c:showPercent val="0"/>
          <c:showBubbleSize val="0"/>
        </c:dLbls>
        <c:gapWidth val="150"/>
        <c:shape val="box"/>
        <c:axId val="93438832"/>
        <c:axId val="93445552"/>
        <c:axId val="0"/>
      </c:bar3DChart>
      <c:catAx>
        <c:axId val="934388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n-lt"/>
                <a:ea typeface="+mn-ea"/>
                <a:cs typeface="+mn-cs"/>
              </a:defRPr>
            </a:pPr>
            <a:endParaRPr lang="en-US"/>
          </a:p>
        </c:txPr>
        <c:crossAx val="93445552"/>
        <c:crosses val="autoZero"/>
        <c:auto val="1"/>
        <c:lblAlgn val="ctr"/>
        <c:lblOffset val="100"/>
        <c:noMultiLvlLbl val="0"/>
      </c:catAx>
      <c:valAx>
        <c:axId val="9344555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3438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Chart.xlsx]Department vs Total Sales!PivotTable4</c:name>
    <c:fmtId val="9"/>
  </c:pivotSource>
  <c:chart>
    <c:title>
      <c:tx>
        <c:rich>
          <a:bodyPr rot="0" spcFirstLastPara="1" vertOverflow="ellipsis" vert="horz" wrap="square" anchor="ctr" anchorCtr="1"/>
          <a:lstStyle/>
          <a:p>
            <a:pPr algn="ctr" rtl="0">
              <a:defRPr lang="en-US" sz="1200" b="1" i="0" u="none" strike="noStrike" kern="1200" cap="none" spc="0" normalizeH="0" baseline="0">
                <a:solidFill>
                  <a:sysClr val="windowText" lastClr="000000">
                    <a:lumMod val="65000"/>
                    <a:lumOff val="35000"/>
                  </a:sysClr>
                </a:solidFill>
                <a:latin typeface="+mj-lt"/>
                <a:ea typeface="+mj-ea"/>
                <a:cs typeface="+mj-cs"/>
              </a:defRPr>
            </a:pPr>
            <a:r>
              <a:rPr lang="en-US" sz="1200" b="1" i="0" u="none" strike="noStrike" kern="1200" cap="none" spc="0" normalizeH="0" baseline="0">
                <a:solidFill>
                  <a:sysClr val="windowText" lastClr="000000">
                    <a:lumMod val="65000"/>
                    <a:lumOff val="35000"/>
                  </a:sysClr>
                </a:solidFill>
                <a:latin typeface="+mj-lt"/>
                <a:ea typeface="+mj-ea"/>
                <a:cs typeface="+mj-cs"/>
              </a:rPr>
              <a:t>Sales_By_Department</a:t>
            </a:r>
          </a:p>
        </c:rich>
      </c:tx>
      <c:overlay val="0"/>
      <c:spPr>
        <a:noFill/>
        <a:ln>
          <a:noFill/>
        </a:ln>
        <a:effectLst/>
      </c:spPr>
      <c:txPr>
        <a:bodyPr rot="0" spcFirstLastPara="1" vertOverflow="ellipsis" vert="horz" wrap="square" anchor="ctr" anchorCtr="1"/>
        <a:lstStyle/>
        <a:p>
          <a:pPr algn="ctr" rtl="0">
            <a:defRPr lang="en-US" sz="1200" b="1" i="0" u="none" strike="noStrike" kern="1200" cap="none" spc="0" normalizeH="0" baseline="0">
              <a:solidFill>
                <a:sysClr val="windowText" lastClr="000000">
                  <a:lumMod val="65000"/>
                  <a:lumOff val="35000"/>
                </a:sysClr>
              </a:solidFill>
              <a:latin typeface="+mj-lt"/>
              <a:ea typeface="+mj-ea"/>
              <a:cs typeface="+mj-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'Department vs Total Sales'!$D$4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80D-41F6-9E51-8D8CBB58281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80D-41F6-9E51-8D8CBB58281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80D-41F6-9E51-8D8CBB5828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vs Total Sales'!$C$5:$C$8</c:f>
              <c:strCache>
                <c:ptCount val="3"/>
                <c:pt idx="0">
                  <c:v>Electronics</c:v>
                </c:pt>
                <c:pt idx="1">
                  <c:v>Furniture</c:v>
                </c:pt>
                <c:pt idx="2">
                  <c:v>Garments</c:v>
                </c:pt>
              </c:strCache>
            </c:strRef>
          </c:cat>
          <c:val>
            <c:numRef>
              <c:f>'Department vs Total Sales'!$D$5:$D$8</c:f>
              <c:numCache>
                <c:formatCode>General</c:formatCode>
                <c:ptCount val="3"/>
                <c:pt idx="0">
                  <c:v>10166</c:v>
                </c:pt>
                <c:pt idx="1">
                  <c:v>6520</c:v>
                </c:pt>
                <c:pt idx="2">
                  <c:v>10550</c:v>
                </c:pt>
              </c:numCache>
            </c:numRef>
          </c:val>
          <c:extLst>
            <c:ext xmlns:c16="http://schemas.microsoft.com/office/drawing/2014/chart" uri="{C3380CC4-5D6E-409C-BE32-E72D297353CC}">
              <c16:uniqueId val="{00000006-180D-41F6-9E51-8D8CBB58281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Chart.xlsx]Dep-Salesman-Reg vs TotalSales !PivotTable7</c:name>
    <c:fmtId val="3"/>
  </c:pivotSource>
  <c:chart>
    <c:title>
      <c:tx>
        <c:rich>
          <a:bodyPr rot="0" spcFirstLastPara="1" vertOverflow="ellipsis" vert="horz" wrap="square" anchor="ctr" anchorCtr="1"/>
          <a:lstStyle/>
          <a:p>
            <a:pPr algn="ctr" rtl="0">
              <a:defRPr lang="en-IN" sz="1200" b="1" i="0" u="none" strike="noStrike" kern="1200" cap="none" spc="0" normalizeH="0" baseline="0">
                <a:solidFill>
                  <a:sysClr val="windowText" lastClr="000000">
                    <a:lumMod val="65000"/>
                    <a:lumOff val="35000"/>
                  </a:sysClr>
                </a:solidFill>
                <a:latin typeface="+mj-lt"/>
                <a:ea typeface="+mj-ea"/>
                <a:cs typeface="+mj-cs"/>
              </a:defRPr>
            </a:pPr>
            <a:r>
              <a:rPr lang="en-IN" sz="1200" b="1" i="0" u="none" strike="noStrike" kern="1200" cap="none" spc="0" normalizeH="0" baseline="0">
                <a:solidFill>
                  <a:sysClr val="windowText" lastClr="000000">
                    <a:lumMod val="65000"/>
                    <a:lumOff val="35000"/>
                  </a:sysClr>
                </a:solidFill>
                <a:latin typeface="+mj-lt"/>
                <a:ea typeface="+mj-ea"/>
                <a:cs typeface="+mj-cs"/>
              </a:rPr>
              <a:t>Sales_By_Department_Salesman(Region_wise)</a:t>
            </a:r>
          </a:p>
        </c:rich>
      </c:tx>
      <c:layout>
        <c:manualLayout>
          <c:xMode val="edge"/>
          <c:yMode val="edge"/>
          <c:x val="0.18678565800927391"/>
          <c:y val="2.4152540600040392E-2"/>
        </c:manualLayout>
      </c:layout>
      <c:overlay val="0"/>
      <c:spPr>
        <a:noFill/>
        <a:ln>
          <a:noFill/>
        </a:ln>
        <a:effectLst/>
      </c:spPr>
      <c:txPr>
        <a:bodyPr rot="0" spcFirstLastPara="1" vertOverflow="ellipsis" vert="horz" wrap="square" anchor="ctr" anchorCtr="1"/>
        <a:lstStyle/>
        <a:p>
          <a:pPr algn="ctr" rtl="0">
            <a:defRPr lang="en-IN" sz="1200" b="1" i="0" u="none" strike="noStrike" kern="1200" cap="none" spc="0" normalizeH="0" baseline="0">
              <a:solidFill>
                <a:sysClr val="windowText" lastClr="000000">
                  <a:lumMod val="65000"/>
                  <a:lumOff val="35000"/>
                </a:sys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'Dep-Salesman-Reg vs TotalSales '!$D$4:$D$5</c:f>
              <c:strCache>
                <c:ptCount val="1"/>
                <c:pt idx="0">
                  <c:v>East</c:v>
                </c:pt>
              </c:strCache>
            </c:strRef>
          </c:tx>
          <c:spPr>
            <a:solidFill>
              <a:schemeClr val="accent1"/>
            </a:solidFill>
            <a:ln>
              <a:noFill/>
            </a:ln>
            <a:effectLst/>
          </c:spPr>
          <c:invertIfNegative val="0"/>
          <c:cat>
            <c:multiLvlStrRef>
              <c:f>'Dep-Salesman-Reg vs TotalSales '!$C$6:$C$17</c:f>
              <c:multiLvlStrCache>
                <c:ptCount val="8"/>
                <c:lvl>
                  <c:pt idx="0">
                    <c:v>Om</c:v>
                  </c:pt>
                  <c:pt idx="1">
                    <c:v>Raman</c:v>
                  </c:pt>
                  <c:pt idx="2">
                    <c:v>Rihan</c:v>
                  </c:pt>
                  <c:pt idx="3">
                    <c:v>Anil</c:v>
                  </c:pt>
                  <c:pt idx="4">
                    <c:v>Om</c:v>
                  </c:pt>
                  <c:pt idx="5">
                    <c:v>Deepak</c:v>
                  </c:pt>
                  <c:pt idx="6">
                    <c:v>Ram</c:v>
                  </c:pt>
                  <c:pt idx="7">
                    <c:v>Shyam</c:v>
                  </c:pt>
                </c:lvl>
                <c:lvl>
                  <c:pt idx="0">
                    <c:v>Electronics</c:v>
                  </c:pt>
                  <c:pt idx="3">
                    <c:v>Furniture</c:v>
                  </c:pt>
                  <c:pt idx="5">
                    <c:v>Garments</c:v>
                  </c:pt>
                </c:lvl>
              </c:multiLvlStrCache>
            </c:multiLvlStrRef>
          </c:cat>
          <c:val>
            <c:numRef>
              <c:f>'Dep-Salesman-Reg vs TotalSales '!$D$6:$D$17</c:f>
              <c:numCache>
                <c:formatCode>General</c:formatCode>
                <c:ptCount val="8"/>
                <c:pt idx="0">
                  <c:v>3334</c:v>
                </c:pt>
                <c:pt idx="4">
                  <c:v>4480</c:v>
                </c:pt>
              </c:numCache>
            </c:numRef>
          </c:val>
          <c:extLst>
            <c:ext xmlns:c16="http://schemas.microsoft.com/office/drawing/2014/chart" uri="{C3380CC4-5D6E-409C-BE32-E72D297353CC}">
              <c16:uniqueId val="{00000000-FF5F-40E5-A190-27DD6442A338}"/>
            </c:ext>
          </c:extLst>
        </c:ser>
        <c:ser>
          <c:idx val="1"/>
          <c:order val="1"/>
          <c:tx>
            <c:strRef>
              <c:f>'Dep-Salesman-Reg vs TotalSales '!$E$4:$E$5</c:f>
              <c:strCache>
                <c:ptCount val="1"/>
                <c:pt idx="0">
                  <c:v>North</c:v>
                </c:pt>
              </c:strCache>
            </c:strRef>
          </c:tx>
          <c:spPr>
            <a:solidFill>
              <a:schemeClr val="accent2"/>
            </a:solidFill>
            <a:ln>
              <a:noFill/>
            </a:ln>
            <a:effectLst/>
          </c:spPr>
          <c:invertIfNegative val="0"/>
          <c:cat>
            <c:multiLvlStrRef>
              <c:f>'Dep-Salesman-Reg vs TotalSales '!$C$6:$C$17</c:f>
              <c:multiLvlStrCache>
                <c:ptCount val="8"/>
                <c:lvl>
                  <c:pt idx="0">
                    <c:v>Om</c:v>
                  </c:pt>
                  <c:pt idx="1">
                    <c:v>Raman</c:v>
                  </c:pt>
                  <c:pt idx="2">
                    <c:v>Rihan</c:v>
                  </c:pt>
                  <c:pt idx="3">
                    <c:v>Anil</c:v>
                  </c:pt>
                  <c:pt idx="4">
                    <c:v>Om</c:v>
                  </c:pt>
                  <c:pt idx="5">
                    <c:v>Deepak</c:v>
                  </c:pt>
                  <c:pt idx="6">
                    <c:v>Ram</c:v>
                  </c:pt>
                  <c:pt idx="7">
                    <c:v>Shyam</c:v>
                  </c:pt>
                </c:lvl>
                <c:lvl>
                  <c:pt idx="0">
                    <c:v>Electronics</c:v>
                  </c:pt>
                  <c:pt idx="3">
                    <c:v>Furniture</c:v>
                  </c:pt>
                  <c:pt idx="5">
                    <c:v>Garments</c:v>
                  </c:pt>
                </c:lvl>
              </c:multiLvlStrCache>
            </c:multiLvlStrRef>
          </c:cat>
          <c:val>
            <c:numRef>
              <c:f>'Dep-Salesman-Reg vs TotalSales '!$E$6:$E$17</c:f>
              <c:numCache>
                <c:formatCode>General</c:formatCode>
                <c:ptCount val="8"/>
                <c:pt idx="1">
                  <c:v>3332</c:v>
                </c:pt>
                <c:pt idx="6">
                  <c:v>4800</c:v>
                </c:pt>
              </c:numCache>
            </c:numRef>
          </c:val>
          <c:extLst>
            <c:ext xmlns:c16="http://schemas.microsoft.com/office/drawing/2014/chart" uri="{C3380CC4-5D6E-409C-BE32-E72D297353CC}">
              <c16:uniqueId val="{00000001-FF5F-40E5-A190-27DD6442A338}"/>
            </c:ext>
          </c:extLst>
        </c:ser>
        <c:ser>
          <c:idx val="2"/>
          <c:order val="2"/>
          <c:tx>
            <c:strRef>
              <c:f>'Dep-Salesman-Reg vs TotalSales '!$F$4:$F$5</c:f>
              <c:strCache>
                <c:ptCount val="1"/>
                <c:pt idx="0">
                  <c:v>West</c:v>
                </c:pt>
              </c:strCache>
            </c:strRef>
          </c:tx>
          <c:spPr>
            <a:solidFill>
              <a:schemeClr val="accent3"/>
            </a:solidFill>
            <a:ln>
              <a:noFill/>
            </a:ln>
            <a:effectLst/>
          </c:spPr>
          <c:invertIfNegative val="0"/>
          <c:cat>
            <c:multiLvlStrRef>
              <c:f>'Dep-Salesman-Reg vs TotalSales '!$C$6:$C$17</c:f>
              <c:multiLvlStrCache>
                <c:ptCount val="8"/>
                <c:lvl>
                  <c:pt idx="0">
                    <c:v>Om</c:v>
                  </c:pt>
                  <c:pt idx="1">
                    <c:v>Raman</c:v>
                  </c:pt>
                  <c:pt idx="2">
                    <c:v>Rihan</c:v>
                  </c:pt>
                  <c:pt idx="3">
                    <c:v>Anil</c:v>
                  </c:pt>
                  <c:pt idx="4">
                    <c:v>Om</c:v>
                  </c:pt>
                  <c:pt idx="5">
                    <c:v>Deepak</c:v>
                  </c:pt>
                  <c:pt idx="6">
                    <c:v>Ram</c:v>
                  </c:pt>
                  <c:pt idx="7">
                    <c:v>Shyam</c:v>
                  </c:pt>
                </c:lvl>
                <c:lvl>
                  <c:pt idx="0">
                    <c:v>Electronics</c:v>
                  </c:pt>
                  <c:pt idx="3">
                    <c:v>Furniture</c:v>
                  </c:pt>
                  <c:pt idx="5">
                    <c:v>Garments</c:v>
                  </c:pt>
                </c:lvl>
              </c:multiLvlStrCache>
            </c:multiLvlStrRef>
          </c:cat>
          <c:val>
            <c:numRef>
              <c:f>'Dep-Salesman-Reg vs TotalSales '!$F$6:$F$17</c:f>
              <c:numCache>
                <c:formatCode>General</c:formatCode>
                <c:ptCount val="8"/>
                <c:pt idx="2">
                  <c:v>3500</c:v>
                </c:pt>
                <c:pt idx="3">
                  <c:v>2040</c:v>
                </c:pt>
                <c:pt idx="5">
                  <c:v>2550</c:v>
                </c:pt>
                <c:pt idx="7">
                  <c:v>3200</c:v>
                </c:pt>
              </c:numCache>
            </c:numRef>
          </c:val>
          <c:extLst>
            <c:ext xmlns:c16="http://schemas.microsoft.com/office/drawing/2014/chart" uri="{C3380CC4-5D6E-409C-BE32-E72D297353CC}">
              <c16:uniqueId val="{00000002-FF5F-40E5-A190-27DD6442A338}"/>
            </c:ext>
          </c:extLst>
        </c:ser>
        <c:dLbls>
          <c:showLegendKey val="0"/>
          <c:showVal val="0"/>
          <c:showCatName val="0"/>
          <c:showSerName val="0"/>
          <c:showPercent val="0"/>
          <c:showBubbleSize val="0"/>
        </c:dLbls>
        <c:gapWidth val="182"/>
        <c:axId val="330974928"/>
        <c:axId val="330967248"/>
      </c:barChart>
      <c:catAx>
        <c:axId val="330974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0" i="0" u="none" strike="noStrike" kern="1200" cap="none" spc="20" normalizeH="0" baseline="0">
                <a:solidFill>
                  <a:schemeClr val="tx1">
                    <a:lumMod val="65000"/>
                    <a:lumOff val="35000"/>
                  </a:schemeClr>
                </a:solidFill>
                <a:latin typeface="+mn-lt"/>
                <a:ea typeface="+mn-ea"/>
                <a:cs typeface="+mn-cs"/>
              </a:defRPr>
            </a:pPr>
            <a:endParaRPr lang="en-US"/>
          </a:p>
        </c:txPr>
        <c:crossAx val="330967248"/>
        <c:crosses val="autoZero"/>
        <c:auto val="1"/>
        <c:lblAlgn val="ctr"/>
        <c:lblOffset val="100"/>
        <c:noMultiLvlLbl val="0"/>
      </c:catAx>
      <c:valAx>
        <c:axId val="330967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200" b="0" i="0" u="none" strike="noStrike" kern="1200" cap="none" spc="20" normalizeH="0" baseline="0">
                <a:solidFill>
                  <a:schemeClr val="tx1">
                    <a:lumMod val="65000"/>
                    <a:lumOff val="35000"/>
                  </a:schemeClr>
                </a:solidFill>
                <a:latin typeface="+mn-lt"/>
                <a:ea typeface="+mn-ea"/>
                <a:cs typeface="+mn-cs"/>
              </a:defRPr>
            </a:pPr>
            <a:endParaRPr lang="en-US"/>
          </a:p>
        </c:txPr>
        <c:crossAx val="330974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1200" b="0" i="0" u="none" strike="noStrike" kern="1200" cap="none" spc="20" normalizeH="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Chart.xlsx]Region vs Years Sales!PivotTable6</c:name>
    <c:fmtId val="3"/>
  </c:pivotSource>
  <c:chart>
    <c:title>
      <c:tx>
        <c:rich>
          <a:bodyPr rot="0" spcFirstLastPara="1" vertOverflow="ellipsis" vert="horz" wrap="square" anchor="ctr" anchorCtr="1"/>
          <a:lstStyle/>
          <a:p>
            <a:pPr algn="ctr" rtl="0">
              <a:defRPr lang="en-IN" sz="1200" b="1" i="0" u="none" strike="noStrike" kern="1200" cap="none" spc="0" normalizeH="0" baseline="0">
                <a:solidFill>
                  <a:sysClr val="windowText" lastClr="000000">
                    <a:lumMod val="65000"/>
                    <a:lumOff val="35000"/>
                  </a:sysClr>
                </a:solidFill>
                <a:latin typeface="+mj-lt"/>
                <a:ea typeface="+mj-ea"/>
                <a:cs typeface="+mj-cs"/>
              </a:defRPr>
            </a:pPr>
            <a:r>
              <a:rPr lang="en-IN" sz="1200" b="1" i="0" u="none" strike="noStrike" kern="1200" cap="none" spc="0" normalizeH="0" baseline="0">
                <a:solidFill>
                  <a:sysClr val="windowText" lastClr="000000">
                    <a:lumMod val="65000"/>
                    <a:lumOff val="35000"/>
                  </a:sysClr>
                </a:solidFill>
                <a:latin typeface="+mj-lt"/>
                <a:ea typeface="+mj-ea"/>
                <a:cs typeface="+mj-cs"/>
              </a:rPr>
              <a:t>Sales_By_Region(Year_Wise)</a:t>
            </a:r>
          </a:p>
        </c:rich>
      </c:tx>
      <c:overlay val="0"/>
      <c:spPr>
        <a:noFill/>
        <a:ln>
          <a:noFill/>
        </a:ln>
        <a:effectLst/>
      </c:spPr>
      <c:txPr>
        <a:bodyPr rot="0" spcFirstLastPara="1" vertOverflow="ellipsis" vert="horz" wrap="square" anchor="ctr" anchorCtr="1"/>
        <a:lstStyle/>
        <a:p>
          <a:pPr algn="ctr" rtl="0">
            <a:defRPr lang="en-IN" sz="1200" b="1" i="0" u="none" strike="noStrike" kern="1200" cap="none" spc="0" normalizeH="0" baseline="0">
              <a:solidFill>
                <a:sysClr val="windowText" lastClr="000000">
                  <a:lumMod val="65000"/>
                  <a:lumOff val="35000"/>
                </a:sysClr>
              </a:solidFill>
              <a:latin typeface="+mj-lt"/>
              <a:ea typeface="+mj-ea"/>
              <a:cs typeface="+mj-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'Region vs Years Sales'!$D$4</c:f>
              <c:strCache>
                <c:ptCount val="1"/>
                <c:pt idx="0">
                  <c:v>Sum of Sale 2022</c:v>
                </c:pt>
              </c:strCache>
            </c:strRef>
          </c:tx>
          <c:spPr>
            <a:solidFill>
              <a:schemeClr val="accent1"/>
            </a:solidFill>
            <a:ln>
              <a:noFill/>
            </a:ln>
            <a:effectLst/>
            <a:sp3d/>
          </c:spPr>
          <c:invertIfNegative val="0"/>
          <c:cat>
            <c:strRef>
              <c:f>'Region vs Years Sales'!$C$5:$C$8</c:f>
              <c:strCache>
                <c:ptCount val="3"/>
                <c:pt idx="0">
                  <c:v>East</c:v>
                </c:pt>
                <c:pt idx="1">
                  <c:v>North</c:v>
                </c:pt>
                <c:pt idx="2">
                  <c:v>West</c:v>
                </c:pt>
              </c:strCache>
            </c:strRef>
          </c:cat>
          <c:val>
            <c:numRef>
              <c:f>'Region vs Years Sales'!$D$5:$D$8</c:f>
              <c:numCache>
                <c:formatCode>General</c:formatCode>
                <c:ptCount val="3"/>
                <c:pt idx="0">
                  <c:v>2414</c:v>
                </c:pt>
                <c:pt idx="1">
                  <c:v>3632</c:v>
                </c:pt>
                <c:pt idx="2">
                  <c:v>5050</c:v>
                </c:pt>
              </c:numCache>
            </c:numRef>
          </c:val>
          <c:extLst>
            <c:ext xmlns:c16="http://schemas.microsoft.com/office/drawing/2014/chart" uri="{C3380CC4-5D6E-409C-BE32-E72D297353CC}">
              <c16:uniqueId val="{00000000-0DC5-4B58-B642-609474543505}"/>
            </c:ext>
          </c:extLst>
        </c:ser>
        <c:ser>
          <c:idx val="1"/>
          <c:order val="1"/>
          <c:tx>
            <c:strRef>
              <c:f>'Region vs Years Sales'!$E$4</c:f>
              <c:strCache>
                <c:ptCount val="1"/>
                <c:pt idx="0">
                  <c:v>Sum of Sale 2023</c:v>
                </c:pt>
              </c:strCache>
            </c:strRef>
          </c:tx>
          <c:spPr>
            <a:solidFill>
              <a:schemeClr val="accent2"/>
            </a:solidFill>
            <a:ln>
              <a:noFill/>
            </a:ln>
            <a:effectLst/>
            <a:sp3d/>
          </c:spPr>
          <c:invertIfNegative val="0"/>
          <c:cat>
            <c:strRef>
              <c:f>'Region vs Years Sales'!$C$5:$C$8</c:f>
              <c:strCache>
                <c:ptCount val="3"/>
                <c:pt idx="0">
                  <c:v>East</c:v>
                </c:pt>
                <c:pt idx="1">
                  <c:v>North</c:v>
                </c:pt>
                <c:pt idx="2">
                  <c:v>West</c:v>
                </c:pt>
              </c:strCache>
            </c:strRef>
          </c:cat>
          <c:val>
            <c:numRef>
              <c:f>'Region vs Years Sales'!$E$5:$E$8</c:f>
              <c:numCache>
                <c:formatCode>General</c:formatCode>
                <c:ptCount val="3"/>
                <c:pt idx="0">
                  <c:v>5400</c:v>
                </c:pt>
                <c:pt idx="1">
                  <c:v>4500</c:v>
                </c:pt>
                <c:pt idx="2">
                  <c:v>6240</c:v>
                </c:pt>
              </c:numCache>
            </c:numRef>
          </c:val>
          <c:extLst>
            <c:ext xmlns:c16="http://schemas.microsoft.com/office/drawing/2014/chart" uri="{C3380CC4-5D6E-409C-BE32-E72D297353CC}">
              <c16:uniqueId val="{00000001-0DC5-4B58-B642-609474543505}"/>
            </c:ext>
          </c:extLst>
        </c:ser>
        <c:dLbls>
          <c:showLegendKey val="0"/>
          <c:showVal val="0"/>
          <c:showCatName val="0"/>
          <c:showSerName val="0"/>
          <c:showPercent val="0"/>
          <c:showBubbleSize val="0"/>
        </c:dLbls>
        <c:gapWidth val="150"/>
        <c:shape val="box"/>
        <c:axId val="330980208"/>
        <c:axId val="330977808"/>
        <c:axId val="0"/>
      </c:bar3DChart>
      <c:catAx>
        <c:axId val="3309802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200" b="0" i="0" u="none" strike="noStrike" kern="1200" cap="none" spc="20" normalizeH="0" baseline="0">
                <a:solidFill>
                  <a:schemeClr val="tx1">
                    <a:lumMod val="65000"/>
                    <a:lumOff val="35000"/>
                  </a:schemeClr>
                </a:solidFill>
                <a:latin typeface="+mn-lt"/>
                <a:ea typeface="+mn-ea"/>
                <a:cs typeface="+mn-cs"/>
              </a:defRPr>
            </a:pPr>
            <a:endParaRPr lang="en-US"/>
          </a:p>
        </c:txPr>
        <c:crossAx val="330977808"/>
        <c:crosses val="autoZero"/>
        <c:auto val="1"/>
        <c:lblAlgn val="ctr"/>
        <c:lblOffset val="100"/>
        <c:noMultiLvlLbl val="0"/>
      </c:catAx>
      <c:valAx>
        <c:axId val="330977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200" b="0" i="0" u="none" strike="noStrike" kern="1200" cap="none" spc="20" normalizeH="0" baseline="0">
                <a:solidFill>
                  <a:schemeClr val="tx1">
                    <a:lumMod val="65000"/>
                    <a:lumOff val="35000"/>
                  </a:schemeClr>
                </a:solidFill>
                <a:latin typeface="+mn-lt"/>
                <a:ea typeface="+mn-ea"/>
                <a:cs typeface="+mn-cs"/>
              </a:defRPr>
            </a:pPr>
            <a:endParaRPr lang="en-US"/>
          </a:p>
        </c:txPr>
        <c:crossAx val="33098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1200" b="0" i="0" u="none" strike="noStrike" kern="1200" cap="none" spc="20" normalizeH="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Chart.xlsx]Salesman vs Years Sales!PivotTable3</c:name>
    <c:fmtId val="8"/>
  </c:pivotSource>
  <c:chart>
    <c:title>
      <c:tx>
        <c:rich>
          <a:bodyPr rot="0" spcFirstLastPara="1" vertOverflow="ellipsis" vert="horz" wrap="square" anchor="ctr" anchorCtr="1"/>
          <a:lstStyle/>
          <a:p>
            <a:pPr algn="ctr" rtl="0">
              <a:defRPr lang="en-IN" sz="1200" b="1" i="0" u="none" strike="noStrike" kern="1200" cap="none" spc="0" normalizeH="0" baseline="0">
                <a:solidFill>
                  <a:sysClr val="windowText" lastClr="000000">
                    <a:lumMod val="65000"/>
                    <a:lumOff val="35000"/>
                  </a:sysClr>
                </a:solidFill>
                <a:latin typeface="+mj-lt"/>
                <a:ea typeface="+mj-ea"/>
                <a:cs typeface="+mj-cs"/>
              </a:defRPr>
            </a:pPr>
            <a:r>
              <a:rPr lang="en-IN" sz="1200" b="1" i="0" u="none" strike="noStrike" kern="1200" cap="none" spc="0" normalizeH="0" baseline="0">
                <a:solidFill>
                  <a:sysClr val="windowText" lastClr="000000">
                    <a:lumMod val="65000"/>
                    <a:lumOff val="35000"/>
                  </a:sysClr>
                </a:solidFill>
                <a:latin typeface="+mj-lt"/>
                <a:ea typeface="+mj-ea"/>
                <a:cs typeface="+mj-cs"/>
              </a:rPr>
              <a:t>Sales_By_Salesman(Year_Wise) </a:t>
            </a:r>
          </a:p>
        </c:rich>
      </c:tx>
      <c:overlay val="0"/>
      <c:spPr>
        <a:noFill/>
        <a:ln>
          <a:noFill/>
        </a:ln>
        <a:effectLst/>
      </c:spPr>
      <c:txPr>
        <a:bodyPr rot="0" spcFirstLastPara="1" vertOverflow="ellipsis" vert="horz" wrap="square" anchor="ctr" anchorCtr="1"/>
        <a:lstStyle/>
        <a:p>
          <a:pPr algn="ctr" rtl="0">
            <a:defRPr lang="en-IN" sz="1200" b="1" i="0" u="none" strike="noStrike" kern="1200" cap="none" spc="0" normalizeH="0" baseline="0">
              <a:solidFill>
                <a:sysClr val="windowText" lastClr="000000">
                  <a:lumMod val="65000"/>
                  <a:lumOff val="35000"/>
                </a:sysClr>
              </a:solidFill>
              <a:latin typeface="+mj-lt"/>
              <a:ea typeface="+mj-ea"/>
              <a:cs typeface="+mj-cs"/>
            </a:defRPr>
          </a:pPr>
          <a:endParaRPr lang="en-US"/>
        </a:p>
      </c:txPr>
    </c:title>
    <c:autoTitleDeleted val="0"/>
    <c:pivotFmts>
      <c:pivotFmt>
        <c:idx val="0"/>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circle"/>
          <c:size val="6"/>
          <c:spPr>
            <a:solidFill>
              <a:schemeClr val="accent2">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'Salesman vs Years Sales'!$D$4</c:f>
              <c:strCache>
                <c:ptCount val="1"/>
                <c:pt idx="0">
                  <c:v>Sum of Sale 2022</c:v>
                </c:pt>
              </c:strCache>
            </c:strRef>
          </c:tx>
          <c:spPr>
            <a:solidFill>
              <a:schemeClr val="accent1">
                <a:alpha val="70000"/>
              </a:schemeClr>
            </a:solidFill>
            <a:ln>
              <a:noFill/>
            </a:ln>
            <a:effectLst/>
          </c:spPr>
          <c:invertIfNegative val="0"/>
          <c:cat>
            <c:strRef>
              <c:f>'Salesman vs Years Sales'!$C$5:$C$12</c:f>
              <c:strCache>
                <c:ptCount val="7"/>
                <c:pt idx="0">
                  <c:v>Anil</c:v>
                </c:pt>
                <c:pt idx="1">
                  <c:v>Deepak</c:v>
                </c:pt>
                <c:pt idx="2">
                  <c:v>Om</c:v>
                </c:pt>
                <c:pt idx="3">
                  <c:v>Ram</c:v>
                </c:pt>
                <c:pt idx="4">
                  <c:v>Raman</c:v>
                </c:pt>
                <c:pt idx="5">
                  <c:v>Rihan</c:v>
                </c:pt>
                <c:pt idx="6">
                  <c:v>Shyam</c:v>
                </c:pt>
              </c:strCache>
            </c:strRef>
          </c:cat>
          <c:val>
            <c:numRef>
              <c:f>'Salesman vs Years Sales'!$D$5:$D$12</c:f>
              <c:numCache>
                <c:formatCode>General</c:formatCode>
                <c:ptCount val="7"/>
                <c:pt idx="0">
                  <c:v>800</c:v>
                </c:pt>
                <c:pt idx="1">
                  <c:v>1150</c:v>
                </c:pt>
                <c:pt idx="2">
                  <c:v>2414</c:v>
                </c:pt>
                <c:pt idx="3">
                  <c:v>2400</c:v>
                </c:pt>
                <c:pt idx="4">
                  <c:v>1232</c:v>
                </c:pt>
                <c:pt idx="5">
                  <c:v>2000</c:v>
                </c:pt>
                <c:pt idx="6">
                  <c:v>1100</c:v>
                </c:pt>
              </c:numCache>
            </c:numRef>
          </c:val>
          <c:extLst>
            <c:ext xmlns:c16="http://schemas.microsoft.com/office/drawing/2014/chart" uri="{C3380CC4-5D6E-409C-BE32-E72D297353CC}">
              <c16:uniqueId val="{00000000-7629-4EFC-9BCA-14BC97A63B4A}"/>
            </c:ext>
          </c:extLst>
        </c:ser>
        <c:ser>
          <c:idx val="1"/>
          <c:order val="1"/>
          <c:tx>
            <c:strRef>
              <c:f>'Salesman vs Years Sales'!$E$4</c:f>
              <c:strCache>
                <c:ptCount val="1"/>
                <c:pt idx="0">
                  <c:v>Sum of Sale 2023</c:v>
                </c:pt>
              </c:strCache>
            </c:strRef>
          </c:tx>
          <c:spPr>
            <a:solidFill>
              <a:schemeClr val="accent2">
                <a:alpha val="70000"/>
              </a:schemeClr>
            </a:solidFill>
            <a:ln>
              <a:noFill/>
            </a:ln>
            <a:effectLst/>
          </c:spPr>
          <c:invertIfNegative val="0"/>
          <c:cat>
            <c:strRef>
              <c:f>'Salesman vs Years Sales'!$C$5:$C$12</c:f>
              <c:strCache>
                <c:ptCount val="7"/>
                <c:pt idx="0">
                  <c:v>Anil</c:v>
                </c:pt>
                <c:pt idx="1">
                  <c:v>Deepak</c:v>
                </c:pt>
                <c:pt idx="2">
                  <c:v>Om</c:v>
                </c:pt>
                <c:pt idx="3">
                  <c:v>Ram</c:v>
                </c:pt>
                <c:pt idx="4">
                  <c:v>Raman</c:v>
                </c:pt>
                <c:pt idx="5">
                  <c:v>Rihan</c:v>
                </c:pt>
                <c:pt idx="6">
                  <c:v>Shyam</c:v>
                </c:pt>
              </c:strCache>
            </c:strRef>
          </c:cat>
          <c:val>
            <c:numRef>
              <c:f>'Salesman vs Years Sales'!$E$5:$E$12</c:f>
              <c:numCache>
                <c:formatCode>General</c:formatCode>
                <c:ptCount val="7"/>
                <c:pt idx="0">
                  <c:v>1240</c:v>
                </c:pt>
                <c:pt idx="1">
                  <c:v>1400</c:v>
                </c:pt>
                <c:pt idx="2">
                  <c:v>5400</c:v>
                </c:pt>
                <c:pt idx="3">
                  <c:v>2400</c:v>
                </c:pt>
                <c:pt idx="4">
                  <c:v>2100</c:v>
                </c:pt>
                <c:pt idx="5">
                  <c:v>1500</c:v>
                </c:pt>
                <c:pt idx="6">
                  <c:v>2100</c:v>
                </c:pt>
              </c:numCache>
            </c:numRef>
          </c:val>
          <c:extLst>
            <c:ext xmlns:c16="http://schemas.microsoft.com/office/drawing/2014/chart" uri="{C3380CC4-5D6E-409C-BE32-E72D297353CC}">
              <c16:uniqueId val="{00000001-7629-4EFC-9BCA-14BC97A63B4A}"/>
            </c:ext>
          </c:extLst>
        </c:ser>
        <c:dLbls>
          <c:showLegendKey val="0"/>
          <c:showVal val="0"/>
          <c:showCatName val="0"/>
          <c:showSerName val="0"/>
          <c:showPercent val="0"/>
          <c:showBubbleSize val="0"/>
        </c:dLbls>
        <c:gapWidth val="80"/>
        <c:overlap val="25"/>
        <c:axId val="93447472"/>
        <c:axId val="93462832"/>
      </c:barChart>
      <c:catAx>
        <c:axId val="93447472"/>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lgn="ctr">
              <a:defRPr lang="en-US" sz="1200" b="0" i="0" u="none" strike="noStrike" kern="1200" cap="none" spc="20" normalizeH="0" baseline="0">
                <a:solidFill>
                  <a:schemeClr val="tx1">
                    <a:lumMod val="65000"/>
                    <a:lumOff val="35000"/>
                  </a:schemeClr>
                </a:solidFill>
                <a:latin typeface="+mn-lt"/>
                <a:ea typeface="+mn-ea"/>
                <a:cs typeface="+mn-cs"/>
              </a:defRPr>
            </a:pPr>
            <a:endParaRPr lang="en-US"/>
          </a:p>
        </c:txPr>
        <c:crossAx val="93462832"/>
        <c:crosses val="autoZero"/>
        <c:auto val="1"/>
        <c:lblAlgn val="ctr"/>
        <c:lblOffset val="100"/>
        <c:noMultiLvlLbl val="0"/>
      </c:catAx>
      <c:valAx>
        <c:axId val="93462832"/>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200" b="0" i="0" u="none" strike="noStrike" kern="1200" spc="20" baseline="0">
                <a:solidFill>
                  <a:schemeClr val="tx1">
                    <a:lumMod val="65000"/>
                    <a:lumOff val="35000"/>
                  </a:schemeClr>
                </a:solidFill>
                <a:latin typeface="+mn-lt"/>
                <a:ea typeface="+mn-ea"/>
                <a:cs typeface="+mn-cs"/>
              </a:defRPr>
            </a:pPr>
            <a:endParaRPr lang="en-US"/>
          </a:p>
        </c:txPr>
        <c:crossAx val="93447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1200" b="0" i="0" u="none" strike="noStrike" kern="1200" spc="2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Chart.xlsx]Depart-Salesman vs Total Sales!PivotTable5</c:name>
    <c:fmtId val="6"/>
  </c:pivotSource>
  <c:chart>
    <c:title>
      <c:tx>
        <c:rich>
          <a:bodyPr rot="0" spcFirstLastPara="1" vertOverflow="ellipsis" vert="horz" wrap="square" anchor="ctr" anchorCtr="1"/>
          <a:lstStyle/>
          <a:p>
            <a:pPr algn="ctr" rtl="0">
              <a:defRPr sz="1200" b="1" i="0" u="none" strike="noStrike" kern="1200" baseline="0">
                <a:solidFill>
                  <a:schemeClr val="tx1">
                    <a:lumMod val="65000"/>
                    <a:lumOff val="35000"/>
                  </a:schemeClr>
                </a:solidFill>
                <a:latin typeface="+mn-lt"/>
                <a:ea typeface="+mn-ea"/>
                <a:cs typeface="+mn-cs"/>
              </a:defRPr>
            </a:pPr>
            <a:r>
              <a:rPr lang="en-US"/>
              <a:t>Sales_By_Salesman(Department_Wise)</a:t>
            </a:r>
          </a:p>
        </c:rich>
      </c:tx>
      <c:layout>
        <c:manualLayout>
          <c:xMode val="edge"/>
          <c:yMode val="edge"/>
          <c:x val="0.19454153750193007"/>
          <c:y val="3.4283014835727217E-2"/>
        </c:manualLayout>
      </c:layout>
      <c:overlay val="0"/>
      <c:spPr>
        <a:noFill/>
        <a:ln>
          <a:noFill/>
        </a:ln>
        <a:effectLst/>
      </c:spPr>
      <c:txPr>
        <a:bodyPr rot="0" spcFirstLastPara="1" vertOverflow="ellipsis" vert="horz" wrap="square" anchor="ctr" anchorCtr="1"/>
        <a:lstStyle/>
        <a:p>
          <a:pPr algn="ctr" rtl="0">
            <a:defRPr sz="12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'Depart-Salesman vs Total Sales'!$D$4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'Depart-Salesman vs Total Sales'!$C$5:$C$16</c:f>
              <c:multiLvlStrCache>
                <c:ptCount val="8"/>
                <c:lvl>
                  <c:pt idx="0">
                    <c:v>Om</c:v>
                  </c:pt>
                  <c:pt idx="1">
                    <c:v>Raman</c:v>
                  </c:pt>
                  <c:pt idx="2">
                    <c:v>Rihan</c:v>
                  </c:pt>
                  <c:pt idx="3">
                    <c:v>Anil</c:v>
                  </c:pt>
                  <c:pt idx="4">
                    <c:v>Om</c:v>
                  </c:pt>
                  <c:pt idx="5">
                    <c:v>Deepak</c:v>
                  </c:pt>
                  <c:pt idx="6">
                    <c:v>Ram</c:v>
                  </c:pt>
                  <c:pt idx="7">
                    <c:v>Shyam</c:v>
                  </c:pt>
                </c:lvl>
                <c:lvl>
                  <c:pt idx="0">
                    <c:v>Electronics</c:v>
                  </c:pt>
                  <c:pt idx="3">
                    <c:v>Furniture</c:v>
                  </c:pt>
                  <c:pt idx="5">
                    <c:v>Garments</c:v>
                  </c:pt>
                </c:lvl>
              </c:multiLvlStrCache>
            </c:multiLvlStrRef>
          </c:cat>
          <c:val>
            <c:numRef>
              <c:f>'Depart-Salesman vs Total Sales'!$D$5:$D$16</c:f>
              <c:numCache>
                <c:formatCode>General</c:formatCode>
                <c:ptCount val="8"/>
                <c:pt idx="0">
                  <c:v>3334</c:v>
                </c:pt>
                <c:pt idx="1">
                  <c:v>3332</c:v>
                </c:pt>
                <c:pt idx="2">
                  <c:v>3500</c:v>
                </c:pt>
                <c:pt idx="3">
                  <c:v>2040</c:v>
                </c:pt>
                <c:pt idx="4">
                  <c:v>4480</c:v>
                </c:pt>
                <c:pt idx="5">
                  <c:v>2550</c:v>
                </c:pt>
                <c:pt idx="6">
                  <c:v>4800</c:v>
                </c:pt>
                <c:pt idx="7">
                  <c:v>3200</c:v>
                </c:pt>
              </c:numCache>
            </c:numRef>
          </c:val>
          <c:extLst>
            <c:ext xmlns:c16="http://schemas.microsoft.com/office/drawing/2014/chart" uri="{C3380CC4-5D6E-409C-BE32-E72D297353CC}">
              <c16:uniqueId val="{00000000-9BB8-4D8A-B138-C94A8358ADF9}"/>
            </c:ext>
          </c:extLst>
        </c:ser>
        <c:dLbls>
          <c:showLegendKey val="0"/>
          <c:showVal val="0"/>
          <c:showCatName val="0"/>
          <c:showSerName val="0"/>
          <c:showPercent val="0"/>
          <c:showBubbleSize val="0"/>
        </c:dLbls>
        <c:gapWidth val="115"/>
        <c:overlap val="-20"/>
        <c:axId val="330943248"/>
        <c:axId val="330959088"/>
      </c:barChart>
      <c:catAx>
        <c:axId val="33094324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lgn="ctr">
              <a:defRPr sz="1000" b="0" i="0" u="none" strike="noStrike" kern="1200" baseline="0">
                <a:solidFill>
                  <a:schemeClr val="tx1">
                    <a:lumMod val="65000"/>
                    <a:lumOff val="35000"/>
                  </a:schemeClr>
                </a:solidFill>
                <a:latin typeface="+mn-lt"/>
                <a:ea typeface="+mn-ea"/>
                <a:cs typeface="+mn-cs"/>
              </a:defRPr>
            </a:pPr>
            <a:endParaRPr lang="en-US"/>
          </a:p>
        </c:txPr>
        <c:crossAx val="330959088"/>
        <c:crosses val="autoZero"/>
        <c:auto val="1"/>
        <c:lblAlgn val="ctr"/>
        <c:lblOffset val="100"/>
        <c:noMultiLvlLbl val="0"/>
      </c:catAx>
      <c:valAx>
        <c:axId val="3309590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sz="1000" b="0" i="0" u="none" strike="noStrike" kern="1200" baseline="0">
                <a:solidFill>
                  <a:schemeClr val="tx1">
                    <a:lumMod val="65000"/>
                    <a:lumOff val="35000"/>
                  </a:schemeClr>
                </a:solidFill>
                <a:latin typeface="+mn-lt"/>
                <a:ea typeface="+mn-ea"/>
                <a:cs typeface="+mn-cs"/>
              </a:defRPr>
            </a:pPr>
            <a:endParaRPr lang="en-US"/>
          </a:p>
        </c:txPr>
        <c:crossAx val="330943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Chart.xlsx]Salesman vs Total Sales!PivotTable2</c:name>
    <c:fmtId val="5"/>
  </c:pivotSource>
  <c:chart>
    <c:title>
      <c:tx>
        <c:rich>
          <a:bodyPr rot="0" spcFirstLastPara="1" vertOverflow="ellipsis" vert="horz" wrap="square" anchor="ctr" anchorCtr="1"/>
          <a:lstStyle/>
          <a:p>
            <a:pPr>
              <a:defRPr sz="2000" b="1" i="0" u="none" strike="noStrike" kern="1200" cap="none" spc="0" normalizeH="0" baseline="0">
                <a:solidFill>
                  <a:schemeClr val="tx1">
                    <a:lumMod val="65000"/>
                    <a:lumOff val="35000"/>
                  </a:schemeClr>
                </a:solidFill>
                <a:latin typeface="+mj-lt"/>
                <a:ea typeface="+mj-ea"/>
                <a:cs typeface="+mj-cs"/>
              </a:defRPr>
            </a:pPr>
            <a:r>
              <a:rPr lang="en-US" b="1"/>
              <a:t>Total</a:t>
            </a:r>
            <a:r>
              <a:rPr lang="en-US" b="1" baseline="0"/>
              <a:t>_Sale_By_Salesman</a:t>
            </a:r>
            <a:endParaRPr lang="en-US" b="1"/>
          </a:p>
        </c:rich>
      </c:tx>
      <c:overlay val="0"/>
      <c:spPr>
        <a:noFill/>
        <a:ln>
          <a:noFill/>
        </a:ln>
        <a:effectLst/>
      </c:spPr>
      <c:txPr>
        <a:bodyPr rot="0" spcFirstLastPara="1" vertOverflow="ellipsis" vert="horz" wrap="square" anchor="ctr" anchorCtr="1"/>
        <a:lstStyle/>
        <a:p>
          <a:pPr>
            <a:defRPr sz="2000" b="1"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'Salesman vs Total Sales'!$F$4</c:f>
              <c:strCache>
                <c:ptCount val="1"/>
                <c:pt idx="0">
                  <c:v>Total</c:v>
                </c:pt>
              </c:strCache>
            </c:strRef>
          </c:tx>
          <c:spPr>
            <a:solidFill>
              <a:schemeClr val="accent1"/>
            </a:solidFill>
            <a:ln>
              <a:noFill/>
            </a:ln>
            <a:effectLst/>
            <a:sp3d/>
          </c:spPr>
          <c:invertIfNegative val="0"/>
          <c:cat>
            <c:strRef>
              <c:f>'Salesman vs Total Sales'!$E$5:$E$12</c:f>
              <c:strCache>
                <c:ptCount val="7"/>
                <c:pt idx="0">
                  <c:v>Anil</c:v>
                </c:pt>
                <c:pt idx="1">
                  <c:v>Deepak</c:v>
                </c:pt>
                <c:pt idx="2">
                  <c:v>Om</c:v>
                </c:pt>
                <c:pt idx="3">
                  <c:v>Ram</c:v>
                </c:pt>
                <c:pt idx="4">
                  <c:v>Raman</c:v>
                </c:pt>
                <c:pt idx="5">
                  <c:v>Rihan</c:v>
                </c:pt>
                <c:pt idx="6">
                  <c:v>Shyam</c:v>
                </c:pt>
              </c:strCache>
            </c:strRef>
          </c:cat>
          <c:val>
            <c:numRef>
              <c:f>'Salesman vs Total Sales'!$F$5:$F$12</c:f>
              <c:numCache>
                <c:formatCode>General</c:formatCode>
                <c:ptCount val="7"/>
                <c:pt idx="0">
                  <c:v>2040</c:v>
                </c:pt>
                <c:pt idx="1">
                  <c:v>2550</c:v>
                </c:pt>
                <c:pt idx="2">
                  <c:v>7814</c:v>
                </c:pt>
                <c:pt idx="3">
                  <c:v>4800</c:v>
                </c:pt>
                <c:pt idx="4">
                  <c:v>3332</c:v>
                </c:pt>
                <c:pt idx="5">
                  <c:v>3500</c:v>
                </c:pt>
                <c:pt idx="6">
                  <c:v>3200</c:v>
                </c:pt>
              </c:numCache>
            </c:numRef>
          </c:val>
          <c:extLst>
            <c:ext xmlns:c16="http://schemas.microsoft.com/office/drawing/2014/chart" uri="{C3380CC4-5D6E-409C-BE32-E72D297353CC}">
              <c16:uniqueId val="{00000000-A6F4-466B-B966-1A50CB0A96E8}"/>
            </c:ext>
          </c:extLst>
        </c:ser>
        <c:dLbls>
          <c:showLegendKey val="0"/>
          <c:showVal val="0"/>
          <c:showCatName val="0"/>
          <c:showSerName val="0"/>
          <c:showPercent val="0"/>
          <c:showBubbleSize val="0"/>
        </c:dLbls>
        <c:gapWidth val="150"/>
        <c:shape val="box"/>
        <c:axId val="93438832"/>
        <c:axId val="93445552"/>
        <c:axId val="0"/>
      </c:bar3DChart>
      <c:catAx>
        <c:axId val="934388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cap="none" spc="0" normalizeH="0" baseline="0">
                <a:solidFill>
                  <a:schemeClr val="tx1">
                    <a:lumMod val="65000"/>
                    <a:lumOff val="35000"/>
                  </a:schemeClr>
                </a:solidFill>
                <a:latin typeface="+mn-lt"/>
                <a:ea typeface="+mn-ea"/>
                <a:cs typeface="+mn-cs"/>
              </a:defRPr>
            </a:pPr>
            <a:endParaRPr lang="en-US"/>
          </a:p>
        </c:txPr>
        <c:crossAx val="93445552"/>
        <c:crosses val="autoZero"/>
        <c:auto val="1"/>
        <c:lblAlgn val="ctr"/>
        <c:lblOffset val="100"/>
        <c:noMultiLvlLbl val="0"/>
      </c:catAx>
      <c:valAx>
        <c:axId val="9344555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93438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Chart.xlsx]Department vs Total Sales!PivotTable4</c:name>
    <c:fmtId val="2"/>
  </c:pivotSource>
  <c:chart>
    <c:title>
      <c:tx>
        <c:rich>
          <a:bodyPr rot="0" spcFirstLastPara="1" vertOverflow="ellipsis" vert="horz" wrap="square" anchor="ctr" anchorCtr="1"/>
          <a:lstStyle/>
          <a:p>
            <a:pPr>
              <a:defRPr sz="1800" b="1" i="0" u="none" strike="noStrike" kern="1200" baseline="0">
                <a:solidFill>
                  <a:schemeClr val="tx1">
                    <a:lumMod val="65000"/>
                    <a:lumOff val="35000"/>
                  </a:schemeClr>
                </a:solidFill>
                <a:latin typeface="+mj-lt"/>
                <a:ea typeface="+mn-ea"/>
                <a:cs typeface="+mn-cs"/>
              </a:defRPr>
            </a:pPr>
            <a:r>
              <a:rPr lang="en-US" sz="1800">
                <a:latin typeface="+mj-lt"/>
              </a:rPr>
              <a:t>Sales_By_Department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j-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'Department vs Total Sales'!$D$4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941-4A05-AB8F-2261DF8EE25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941-4A05-AB8F-2261DF8EE25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941-4A05-AB8F-2261DF8EE2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vs Total Sales'!$C$5:$C$8</c:f>
              <c:strCache>
                <c:ptCount val="3"/>
                <c:pt idx="0">
                  <c:v>Electronics</c:v>
                </c:pt>
                <c:pt idx="1">
                  <c:v>Furniture</c:v>
                </c:pt>
                <c:pt idx="2">
                  <c:v>Garments</c:v>
                </c:pt>
              </c:strCache>
            </c:strRef>
          </c:cat>
          <c:val>
            <c:numRef>
              <c:f>'Department vs Total Sales'!$D$5:$D$8</c:f>
              <c:numCache>
                <c:formatCode>General</c:formatCode>
                <c:ptCount val="3"/>
                <c:pt idx="0">
                  <c:v>10166</c:v>
                </c:pt>
                <c:pt idx="1">
                  <c:v>6520</c:v>
                </c:pt>
                <c:pt idx="2">
                  <c:v>10550</c:v>
                </c:pt>
              </c:numCache>
            </c:numRef>
          </c:val>
          <c:extLst>
            <c:ext xmlns:c16="http://schemas.microsoft.com/office/drawing/2014/chart" uri="{C3380CC4-5D6E-409C-BE32-E72D297353CC}">
              <c16:uniqueId val="{00000000-141B-4EC4-9A3E-76AD2DBB409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Chart.xlsx]Salesman vs Years Sales!PivotTable3</c:name>
    <c:fmtId val="6"/>
  </c:pivotSource>
  <c:chart>
    <c:title>
      <c:tx>
        <c:rich>
          <a:bodyPr rot="0" spcFirstLastPara="1" vertOverflow="ellipsis" vert="horz" wrap="square" anchor="ctr" anchorCtr="1"/>
          <a:lstStyle/>
          <a:p>
            <a:pPr>
              <a:defRPr sz="1800" b="0" i="0" u="none" strike="noStrike" kern="1200" cap="none" spc="50" normalizeH="0" baseline="0">
                <a:solidFill>
                  <a:schemeClr val="tx1">
                    <a:lumMod val="65000"/>
                    <a:lumOff val="35000"/>
                  </a:schemeClr>
                </a:solidFill>
                <a:latin typeface="+mj-lt"/>
                <a:ea typeface="+mj-ea"/>
                <a:cs typeface="+mj-cs"/>
              </a:defRPr>
            </a:pPr>
            <a:r>
              <a:rPr lang="en-IN" sz="1800" b="1" i="0" u="none" strike="noStrike" kern="1200" cap="none" spc="0" normalizeH="0" baseline="0">
                <a:solidFill>
                  <a:sysClr val="windowText" lastClr="000000">
                    <a:lumMod val="65000"/>
                    <a:lumOff val="35000"/>
                  </a:sysClr>
                </a:solidFill>
                <a:latin typeface="+mj-lt"/>
                <a:ea typeface="+mj-ea"/>
                <a:cs typeface="+mj-cs"/>
              </a:rPr>
              <a:t>Sales_By_Salesman(Year_Wise) </a:t>
            </a:r>
          </a:p>
        </c:rich>
      </c:tx>
      <c:overlay val="0"/>
      <c:spPr>
        <a:noFill/>
        <a:ln>
          <a:noFill/>
        </a:ln>
        <a:effectLst/>
      </c:spPr>
      <c:txPr>
        <a:bodyPr rot="0" spcFirstLastPara="1" vertOverflow="ellipsis" vert="horz" wrap="square" anchor="ctr" anchorCtr="1"/>
        <a:lstStyle/>
        <a:p>
          <a:pPr>
            <a:defRPr sz="18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circle"/>
          <c:size val="6"/>
          <c:spPr>
            <a:solidFill>
              <a:schemeClr val="accent2">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'Salesman vs Years Sales'!$D$4</c:f>
              <c:strCache>
                <c:ptCount val="1"/>
                <c:pt idx="0">
                  <c:v>Sum of Sale 2022</c:v>
                </c:pt>
              </c:strCache>
            </c:strRef>
          </c:tx>
          <c:spPr>
            <a:solidFill>
              <a:schemeClr val="accent1">
                <a:alpha val="70000"/>
              </a:schemeClr>
            </a:solidFill>
            <a:ln>
              <a:noFill/>
            </a:ln>
            <a:effectLst/>
          </c:spPr>
          <c:invertIfNegative val="0"/>
          <c:cat>
            <c:strRef>
              <c:f>'Salesman vs Years Sales'!$C$5:$C$12</c:f>
              <c:strCache>
                <c:ptCount val="7"/>
                <c:pt idx="0">
                  <c:v>Anil</c:v>
                </c:pt>
                <c:pt idx="1">
                  <c:v>Deepak</c:v>
                </c:pt>
                <c:pt idx="2">
                  <c:v>Om</c:v>
                </c:pt>
                <c:pt idx="3">
                  <c:v>Ram</c:v>
                </c:pt>
                <c:pt idx="4">
                  <c:v>Raman</c:v>
                </c:pt>
                <c:pt idx="5">
                  <c:v>Rihan</c:v>
                </c:pt>
                <c:pt idx="6">
                  <c:v>Shyam</c:v>
                </c:pt>
              </c:strCache>
            </c:strRef>
          </c:cat>
          <c:val>
            <c:numRef>
              <c:f>'Salesman vs Years Sales'!$D$5:$D$12</c:f>
              <c:numCache>
                <c:formatCode>General</c:formatCode>
                <c:ptCount val="7"/>
                <c:pt idx="0">
                  <c:v>800</c:v>
                </c:pt>
                <c:pt idx="1">
                  <c:v>1150</c:v>
                </c:pt>
                <c:pt idx="2">
                  <c:v>2414</c:v>
                </c:pt>
                <c:pt idx="3">
                  <c:v>2400</c:v>
                </c:pt>
                <c:pt idx="4">
                  <c:v>1232</c:v>
                </c:pt>
                <c:pt idx="5">
                  <c:v>2000</c:v>
                </c:pt>
                <c:pt idx="6">
                  <c:v>1100</c:v>
                </c:pt>
              </c:numCache>
            </c:numRef>
          </c:val>
          <c:extLst>
            <c:ext xmlns:c16="http://schemas.microsoft.com/office/drawing/2014/chart" uri="{C3380CC4-5D6E-409C-BE32-E72D297353CC}">
              <c16:uniqueId val="{00000000-298B-4540-9956-E53B162B8C9F}"/>
            </c:ext>
          </c:extLst>
        </c:ser>
        <c:ser>
          <c:idx val="1"/>
          <c:order val="1"/>
          <c:tx>
            <c:strRef>
              <c:f>'Salesman vs Years Sales'!$E$4</c:f>
              <c:strCache>
                <c:ptCount val="1"/>
                <c:pt idx="0">
                  <c:v>Sum of Sale 2023</c:v>
                </c:pt>
              </c:strCache>
            </c:strRef>
          </c:tx>
          <c:spPr>
            <a:solidFill>
              <a:schemeClr val="accent2">
                <a:alpha val="70000"/>
              </a:schemeClr>
            </a:solidFill>
            <a:ln>
              <a:noFill/>
            </a:ln>
            <a:effectLst/>
          </c:spPr>
          <c:invertIfNegative val="0"/>
          <c:cat>
            <c:strRef>
              <c:f>'Salesman vs Years Sales'!$C$5:$C$12</c:f>
              <c:strCache>
                <c:ptCount val="7"/>
                <c:pt idx="0">
                  <c:v>Anil</c:v>
                </c:pt>
                <c:pt idx="1">
                  <c:v>Deepak</c:v>
                </c:pt>
                <c:pt idx="2">
                  <c:v>Om</c:v>
                </c:pt>
                <c:pt idx="3">
                  <c:v>Ram</c:v>
                </c:pt>
                <c:pt idx="4">
                  <c:v>Raman</c:v>
                </c:pt>
                <c:pt idx="5">
                  <c:v>Rihan</c:v>
                </c:pt>
                <c:pt idx="6">
                  <c:v>Shyam</c:v>
                </c:pt>
              </c:strCache>
            </c:strRef>
          </c:cat>
          <c:val>
            <c:numRef>
              <c:f>'Salesman vs Years Sales'!$E$5:$E$12</c:f>
              <c:numCache>
                <c:formatCode>General</c:formatCode>
                <c:ptCount val="7"/>
                <c:pt idx="0">
                  <c:v>1240</c:v>
                </c:pt>
                <c:pt idx="1">
                  <c:v>1400</c:v>
                </c:pt>
                <c:pt idx="2">
                  <c:v>5400</c:v>
                </c:pt>
                <c:pt idx="3">
                  <c:v>2400</c:v>
                </c:pt>
                <c:pt idx="4">
                  <c:v>2100</c:v>
                </c:pt>
                <c:pt idx="5">
                  <c:v>1500</c:v>
                </c:pt>
                <c:pt idx="6">
                  <c:v>2100</c:v>
                </c:pt>
              </c:numCache>
            </c:numRef>
          </c:val>
          <c:extLst>
            <c:ext xmlns:c16="http://schemas.microsoft.com/office/drawing/2014/chart" uri="{C3380CC4-5D6E-409C-BE32-E72D297353CC}">
              <c16:uniqueId val="{00000001-298B-4540-9956-E53B162B8C9F}"/>
            </c:ext>
          </c:extLst>
        </c:ser>
        <c:dLbls>
          <c:showLegendKey val="0"/>
          <c:showVal val="0"/>
          <c:showCatName val="0"/>
          <c:showSerName val="0"/>
          <c:showPercent val="0"/>
          <c:showBubbleSize val="0"/>
        </c:dLbls>
        <c:gapWidth val="80"/>
        <c:overlap val="25"/>
        <c:axId val="93447472"/>
        <c:axId val="93462832"/>
      </c:barChart>
      <c:catAx>
        <c:axId val="93447472"/>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cap="none" spc="20" normalizeH="0" baseline="0">
                <a:solidFill>
                  <a:schemeClr val="tx1">
                    <a:lumMod val="65000"/>
                    <a:lumOff val="35000"/>
                  </a:schemeClr>
                </a:solidFill>
                <a:latin typeface="+mn-lt"/>
                <a:ea typeface="+mn-ea"/>
                <a:cs typeface="+mn-cs"/>
              </a:defRPr>
            </a:pPr>
            <a:endParaRPr lang="en-US"/>
          </a:p>
        </c:txPr>
        <c:crossAx val="93462832"/>
        <c:crosses val="autoZero"/>
        <c:auto val="1"/>
        <c:lblAlgn val="ctr"/>
        <c:lblOffset val="100"/>
        <c:noMultiLvlLbl val="0"/>
      </c:catAx>
      <c:valAx>
        <c:axId val="93462832"/>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spc="20" baseline="0">
                <a:solidFill>
                  <a:schemeClr val="tx1">
                    <a:lumMod val="65000"/>
                    <a:lumOff val="35000"/>
                  </a:schemeClr>
                </a:solidFill>
                <a:latin typeface="+mn-lt"/>
                <a:ea typeface="+mn-ea"/>
                <a:cs typeface="+mn-cs"/>
              </a:defRPr>
            </a:pPr>
            <a:endParaRPr lang="en-US"/>
          </a:p>
        </c:txPr>
        <c:crossAx val="93447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Chart.xlsx]Depart-Salesman vs Total Sales!PivotTable5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j-lt"/>
                <a:ea typeface="+mn-ea"/>
                <a:cs typeface="+mn-cs"/>
              </a:defRPr>
            </a:pPr>
            <a:r>
              <a:rPr lang="en-US">
                <a:latin typeface="+mj-lt"/>
              </a:rPr>
              <a:t>Sales_By_Salesman(Department_Wise)</a:t>
            </a:r>
          </a:p>
        </c:rich>
      </c:tx>
      <c:layout>
        <c:manualLayout>
          <c:xMode val="edge"/>
          <c:yMode val="edge"/>
          <c:x val="0.19454153750193007"/>
          <c:y val="3.428301483572721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j-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'Depart-Salesman vs Total Sales'!$D$4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'Depart-Salesman vs Total Sales'!$C$5:$C$16</c:f>
              <c:multiLvlStrCache>
                <c:ptCount val="8"/>
                <c:lvl>
                  <c:pt idx="0">
                    <c:v>Om</c:v>
                  </c:pt>
                  <c:pt idx="1">
                    <c:v>Raman</c:v>
                  </c:pt>
                  <c:pt idx="2">
                    <c:v>Rihan</c:v>
                  </c:pt>
                  <c:pt idx="3">
                    <c:v>Anil</c:v>
                  </c:pt>
                  <c:pt idx="4">
                    <c:v>Om</c:v>
                  </c:pt>
                  <c:pt idx="5">
                    <c:v>Deepak</c:v>
                  </c:pt>
                  <c:pt idx="6">
                    <c:v>Ram</c:v>
                  </c:pt>
                  <c:pt idx="7">
                    <c:v>Shyam</c:v>
                  </c:pt>
                </c:lvl>
                <c:lvl>
                  <c:pt idx="0">
                    <c:v>Electronics</c:v>
                  </c:pt>
                  <c:pt idx="3">
                    <c:v>Furniture</c:v>
                  </c:pt>
                  <c:pt idx="5">
                    <c:v>Garments</c:v>
                  </c:pt>
                </c:lvl>
              </c:multiLvlStrCache>
            </c:multiLvlStrRef>
          </c:cat>
          <c:val>
            <c:numRef>
              <c:f>'Depart-Salesman vs Total Sales'!$D$5:$D$16</c:f>
              <c:numCache>
                <c:formatCode>General</c:formatCode>
                <c:ptCount val="8"/>
                <c:pt idx="0">
                  <c:v>3334</c:v>
                </c:pt>
                <c:pt idx="1">
                  <c:v>3332</c:v>
                </c:pt>
                <c:pt idx="2">
                  <c:v>3500</c:v>
                </c:pt>
                <c:pt idx="3">
                  <c:v>2040</c:v>
                </c:pt>
                <c:pt idx="4">
                  <c:v>4480</c:v>
                </c:pt>
                <c:pt idx="5">
                  <c:v>2550</c:v>
                </c:pt>
                <c:pt idx="6">
                  <c:v>4800</c:v>
                </c:pt>
                <c:pt idx="7">
                  <c:v>3200</c:v>
                </c:pt>
              </c:numCache>
            </c:numRef>
          </c:val>
          <c:extLst>
            <c:ext xmlns:c16="http://schemas.microsoft.com/office/drawing/2014/chart" uri="{C3380CC4-5D6E-409C-BE32-E72D297353CC}">
              <c16:uniqueId val="{00000000-14E9-48FC-B694-28344A3D48C4}"/>
            </c:ext>
          </c:extLst>
        </c:ser>
        <c:dLbls>
          <c:showLegendKey val="0"/>
          <c:showVal val="0"/>
          <c:showCatName val="0"/>
          <c:showSerName val="0"/>
          <c:showPercent val="0"/>
          <c:showBubbleSize val="0"/>
        </c:dLbls>
        <c:gapWidth val="115"/>
        <c:overlap val="-20"/>
        <c:axId val="330943248"/>
        <c:axId val="330959088"/>
      </c:barChart>
      <c:catAx>
        <c:axId val="33094324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330959088"/>
        <c:crosses val="autoZero"/>
        <c:auto val="1"/>
        <c:lblAlgn val="ctr"/>
        <c:lblOffset val="100"/>
        <c:noMultiLvlLbl val="0"/>
      </c:catAx>
      <c:valAx>
        <c:axId val="3309590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330943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Chart.xlsx]Region vs Years Sales!PivotTable6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r>
              <a:rPr lang="en-IN">
                <a:latin typeface="+mj-lt"/>
              </a:rPr>
              <a:t>Sales_By_Region(Year_Wise)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'Region vs Years Sales'!$D$4</c:f>
              <c:strCache>
                <c:ptCount val="1"/>
                <c:pt idx="0">
                  <c:v>Sum of Sale 2022</c:v>
                </c:pt>
              </c:strCache>
            </c:strRef>
          </c:tx>
          <c:spPr>
            <a:solidFill>
              <a:schemeClr val="accent1"/>
            </a:solidFill>
            <a:ln>
              <a:noFill/>
            </a:ln>
            <a:effectLst/>
            <a:sp3d/>
          </c:spPr>
          <c:invertIfNegative val="0"/>
          <c:cat>
            <c:strRef>
              <c:f>'Region vs Years Sales'!$C$5:$C$8</c:f>
              <c:strCache>
                <c:ptCount val="3"/>
                <c:pt idx="0">
                  <c:v>East</c:v>
                </c:pt>
                <c:pt idx="1">
                  <c:v>North</c:v>
                </c:pt>
                <c:pt idx="2">
                  <c:v>West</c:v>
                </c:pt>
              </c:strCache>
            </c:strRef>
          </c:cat>
          <c:val>
            <c:numRef>
              <c:f>'Region vs Years Sales'!$D$5:$D$8</c:f>
              <c:numCache>
                <c:formatCode>General</c:formatCode>
                <c:ptCount val="3"/>
                <c:pt idx="0">
                  <c:v>2414</c:v>
                </c:pt>
                <c:pt idx="1">
                  <c:v>3632</c:v>
                </c:pt>
                <c:pt idx="2">
                  <c:v>5050</c:v>
                </c:pt>
              </c:numCache>
            </c:numRef>
          </c:val>
          <c:extLst>
            <c:ext xmlns:c16="http://schemas.microsoft.com/office/drawing/2014/chart" uri="{C3380CC4-5D6E-409C-BE32-E72D297353CC}">
              <c16:uniqueId val="{00000000-FCC7-416C-8E6E-A7B63A33BD84}"/>
            </c:ext>
          </c:extLst>
        </c:ser>
        <c:ser>
          <c:idx val="1"/>
          <c:order val="1"/>
          <c:tx>
            <c:strRef>
              <c:f>'Region vs Years Sales'!$E$4</c:f>
              <c:strCache>
                <c:ptCount val="1"/>
                <c:pt idx="0">
                  <c:v>Sum of Sale 2023</c:v>
                </c:pt>
              </c:strCache>
            </c:strRef>
          </c:tx>
          <c:spPr>
            <a:solidFill>
              <a:schemeClr val="accent2"/>
            </a:solidFill>
            <a:ln>
              <a:noFill/>
            </a:ln>
            <a:effectLst/>
            <a:sp3d/>
          </c:spPr>
          <c:invertIfNegative val="0"/>
          <c:cat>
            <c:strRef>
              <c:f>'Region vs Years Sales'!$C$5:$C$8</c:f>
              <c:strCache>
                <c:ptCount val="3"/>
                <c:pt idx="0">
                  <c:v>East</c:v>
                </c:pt>
                <c:pt idx="1">
                  <c:v>North</c:v>
                </c:pt>
                <c:pt idx="2">
                  <c:v>West</c:v>
                </c:pt>
              </c:strCache>
            </c:strRef>
          </c:cat>
          <c:val>
            <c:numRef>
              <c:f>'Region vs Years Sales'!$E$5:$E$8</c:f>
              <c:numCache>
                <c:formatCode>General</c:formatCode>
                <c:ptCount val="3"/>
                <c:pt idx="0">
                  <c:v>5400</c:v>
                </c:pt>
                <c:pt idx="1">
                  <c:v>4500</c:v>
                </c:pt>
                <c:pt idx="2">
                  <c:v>6240</c:v>
                </c:pt>
              </c:numCache>
            </c:numRef>
          </c:val>
          <c:extLst>
            <c:ext xmlns:c16="http://schemas.microsoft.com/office/drawing/2014/chart" uri="{C3380CC4-5D6E-409C-BE32-E72D297353CC}">
              <c16:uniqueId val="{00000001-FCC7-416C-8E6E-A7B63A33BD84}"/>
            </c:ext>
          </c:extLst>
        </c:ser>
        <c:dLbls>
          <c:showLegendKey val="0"/>
          <c:showVal val="0"/>
          <c:showCatName val="0"/>
          <c:showSerName val="0"/>
          <c:showPercent val="0"/>
          <c:showBubbleSize val="0"/>
        </c:dLbls>
        <c:gapWidth val="150"/>
        <c:shape val="box"/>
        <c:axId val="330980208"/>
        <c:axId val="330977808"/>
        <c:axId val="0"/>
      </c:bar3DChart>
      <c:catAx>
        <c:axId val="3309802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330977808"/>
        <c:crosses val="autoZero"/>
        <c:auto val="1"/>
        <c:lblAlgn val="ctr"/>
        <c:lblOffset val="100"/>
        <c:noMultiLvlLbl val="0"/>
      </c:catAx>
      <c:valAx>
        <c:axId val="330977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33098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Chart.xlsx]Dep-Salesman-Reg vs TotalSales !PivotTable7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r>
              <a:rPr lang="en-IN">
                <a:latin typeface="+mj-lt"/>
              </a:rPr>
              <a:t>Sales_By_Department_Salesman(Region_wise)</a:t>
            </a:r>
          </a:p>
        </c:rich>
      </c:tx>
      <c:layout>
        <c:manualLayout>
          <c:xMode val="edge"/>
          <c:yMode val="edge"/>
          <c:x val="0.18678565800927391"/>
          <c:y val="2.41525406000403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'Dep-Salesman-Reg vs TotalSales '!$D$4:$D$5</c:f>
              <c:strCache>
                <c:ptCount val="1"/>
                <c:pt idx="0">
                  <c:v>East</c:v>
                </c:pt>
              </c:strCache>
            </c:strRef>
          </c:tx>
          <c:spPr>
            <a:solidFill>
              <a:schemeClr val="accent1"/>
            </a:solidFill>
            <a:ln>
              <a:noFill/>
            </a:ln>
            <a:effectLst/>
          </c:spPr>
          <c:invertIfNegative val="0"/>
          <c:cat>
            <c:multiLvlStrRef>
              <c:f>'Dep-Salesman-Reg vs TotalSales '!$C$6:$C$17</c:f>
              <c:multiLvlStrCache>
                <c:ptCount val="8"/>
                <c:lvl>
                  <c:pt idx="0">
                    <c:v>Om</c:v>
                  </c:pt>
                  <c:pt idx="1">
                    <c:v>Raman</c:v>
                  </c:pt>
                  <c:pt idx="2">
                    <c:v>Rihan</c:v>
                  </c:pt>
                  <c:pt idx="3">
                    <c:v>Anil</c:v>
                  </c:pt>
                  <c:pt idx="4">
                    <c:v>Om</c:v>
                  </c:pt>
                  <c:pt idx="5">
                    <c:v>Deepak</c:v>
                  </c:pt>
                  <c:pt idx="6">
                    <c:v>Ram</c:v>
                  </c:pt>
                  <c:pt idx="7">
                    <c:v>Shyam</c:v>
                  </c:pt>
                </c:lvl>
                <c:lvl>
                  <c:pt idx="0">
                    <c:v>Electronics</c:v>
                  </c:pt>
                  <c:pt idx="3">
                    <c:v>Furniture</c:v>
                  </c:pt>
                  <c:pt idx="5">
                    <c:v>Garments</c:v>
                  </c:pt>
                </c:lvl>
              </c:multiLvlStrCache>
            </c:multiLvlStrRef>
          </c:cat>
          <c:val>
            <c:numRef>
              <c:f>'Dep-Salesman-Reg vs TotalSales '!$D$6:$D$17</c:f>
              <c:numCache>
                <c:formatCode>General</c:formatCode>
                <c:ptCount val="8"/>
                <c:pt idx="0">
                  <c:v>3334</c:v>
                </c:pt>
                <c:pt idx="4">
                  <c:v>4480</c:v>
                </c:pt>
              </c:numCache>
            </c:numRef>
          </c:val>
          <c:extLst>
            <c:ext xmlns:c16="http://schemas.microsoft.com/office/drawing/2014/chart" uri="{C3380CC4-5D6E-409C-BE32-E72D297353CC}">
              <c16:uniqueId val="{00000000-ACC9-4F34-BAB2-0B0AE9AB1DE2}"/>
            </c:ext>
          </c:extLst>
        </c:ser>
        <c:ser>
          <c:idx val="1"/>
          <c:order val="1"/>
          <c:tx>
            <c:strRef>
              <c:f>'Dep-Salesman-Reg vs TotalSales '!$E$4:$E$5</c:f>
              <c:strCache>
                <c:ptCount val="1"/>
                <c:pt idx="0">
                  <c:v>North</c:v>
                </c:pt>
              </c:strCache>
            </c:strRef>
          </c:tx>
          <c:spPr>
            <a:solidFill>
              <a:schemeClr val="accent2"/>
            </a:solidFill>
            <a:ln>
              <a:noFill/>
            </a:ln>
            <a:effectLst/>
          </c:spPr>
          <c:invertIfNegative val="0"/>
          <c:cat>
            <c:multiLvlStrRef>
              <c:f>'Dep-Salesman-Reg vs TotalSales '!$C$6:$C$17</c:f>
              <c:multiLvlStrCache>
                <c:ptCount val="8"/>
                <c:lvl>
                  <c:pt idx="0">
                    <c:v>Om</c:v>
                  </c:pt>
                  <c:pt idx="1">
                    <c:v>Raman</c:v>
                  </c:pt>
                  <c:pt idx="2">
                    <c:v>Rihan</c:v>
                  </c:pt>
                  <c:pt idx="3">
                    <c:v>Anil</c:v>
                  </c:pt>
                  <c:pt idx="4">
                    <c:v>Om</c:v>
                  </c:pt>
                  <c:pt idx="5">
                    <c:v>Deepak</c:v>
                  </c:pt>
                  <c:pt idx="6">
                    <c:v>Ram</c:v>
                  </c:pt>
                  <c:pt idx="7">
                    <c:v>Shyam</c:v>
                  </c:pt>
                </c:lvl>
                <c:lvl>
                  <c:pt idx="0">
                    <c:v>Electronics</c:v>
                  </c:pt>
                  <c:pt idx="3">
                    <c:v>Furniture</c:v>
                  </c:pt>
                  <c:pt idx="5">
                    <c:v>Garments</c:v>
                  </c:pt>
                </c:lvl>
              </c:multiLvlStrCache>
            </c:multiLvlStrRef>
          </c:cat>
          <c:val>
            <c:numRef>
              <c:f>'Dep-Salesman-Reg vs TotalSales '!$E$6:$E$17</c:f>
              <c:numCache>
                <c:formatCode>General</c:formatCode>
                <c:ptCount val="8"/>
                <c:pt idx="1">
                  <c:v>3332</c:v>
                </c:pt>
                <c:pt idx="6">
                  <c:v>4800</c:v>
                </c:pt>
              </c:numCache>
            </c:numRef>
          </c:val>
          <c:extLst>
            <c:ext xmlns:c16="http://schemas.microsoft.com/office/drawing/2014/chart" uri="{C3380CC4-5D6E-409C-BE32-E72D297353CC}">
              <c16:uniqueId val="{00000001-A5E9-469F-83F8-9FAA982CB515}"/>
            </c:ext>
          </c:extLst>
        </c:ser>
        <c:ser>
          <c:idx val="2"/>
          <c:order val="2"/>
          <c:tx>
            <c:strRef>
              <c:f>'Dep-Salesman-Reg vs TotalSales '!$F$4:$F$5</c:f>
              <c:strCache>
                <c:ptCount val="1"/>
                <c:pt idx="0">
                  <c:v>West</c:v>
                </c:pt>
              </c:strCache>
            </c:strRef>
          </c:tx>
          <c:spPr>
            <a:solidFill>
              <a:schemeClr val="accent3"/>
            </a:solidFill>
            <a:ln>
              <a:noFill/>
            </a:ln>
            <a:effectLst/>
          </c:spPr>
          <c:invertIfNegative val="0"/>
          <c:cat>
            <c:multiLvlStrRef>
              <c:f>'Dep-Salesman-Reg vs TotalSales '!$C$6:$C$17</c:f>
              <c:multiLvlStrCache>
                <c:ptCount val="8"/>
                <c:lvl>
                  <c:pt idx="0">
                    <c:v>Om</c:v>
                  </c:pt>
                  <c:pt idx="1">
                    <c:v>Raman</c:v>
                  </c:pt>
                  <c:pt idx="2">
                    <c:v>Rihan</c:v>
                  </c:pt>
                  <c:pt idx="3">
                    <c:v>Anil</c:v>
                  </c:pt>
                  <c:pt idx="4">
                    <c:v>Om</c:v>
                  </c:pt>
                  <c:pt idx="5">
                    <c:v>Deepak</c:v>
                  </c:pt>
                  <c:pt idx="6">
                    <c:v>Ram</c:v>
                  </c:pt>
                  <c:pt idx="7">
                    <c:v>Shyam</c:v>
                  </c:pt>
                </c:lvl>
                <c:lvl>
                  <c:pt idx="0">
                    <c:v>Electronics</c:v>
                  </c:pt>
                  <c:pt idx="3">
                    <c:v>Furniture</c:v>
                  </c:pt>
                  <c:pt idx="5">
                    <c:v>Garments</c:v>
                  </c:pt>
                </c:lvl>
              </c:multiLvlStrCache>
            </c:multiLvlStrRef>
          </c:cat>
          <c:val>
            <c:numRef>
              <c:f>'Dep-Salesman-Reg vs TotalSales '!$F$6:$F$17</c:f>
              <c:numCache>
                <c:formatCode>General</c:formatCode>
                <c:ptCount val="8"/>
                <c:pt idx="2">
                  <c:v>3500</c:v>
                </c:pt>
                <c:pt idx="3">
                  <c:v>2040</c:v>
                </c:pt>
                <c:pt idx="5">
                  <c:v>2550</c:v>
                </c:pt>
                <c:pt idx="7">
                  <c:v>3200</c:v>
                </c:pt>
              </c:numCache>
            </c:numRef>
          </c:val>
          <c:extLst>
            <c:ext xmlns:c16="http://schemas.microsoft.com/office/drawing/2014/chart" uri="{C3380CC4-5D6E-409C-BE32-E72D297353CC}">
              <c16:uniqueId val="{00000002-A5E9-469F-83F8-9FAA982CB515}"/>
            </c:ext>
          </c:extLst>
        </c:ser>
        <c:dLbls>
          <c:showLegendKey val="0"/>
          <c:showVal val="0"/>
          <c:showCatName val="0"/>
          <c:showSerName val="0"/>
          <c:showPercent val="0"/>
          <c:showBubbleSize val="0"/>
        </c:dLbls>
        <c:gapWidth val="182"/>
        <c:axId val="330974928"/>
        <c:axId val="330967248"/>
      </c:barChart>
      <c:catAx>
        <c:axId val="330974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330967248"/>
        <c:crosses val="autoZero"/>
        <c:auto val="1"/>
        <c:lblAlgn val="ctr"/>
        <c:lblOffset val="100"/>
        <c:noMultiLvlLbl val="0"/>
      </c:catAx>
      <c:valAx>
        <c:axId val="330967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330974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xdr:col>
      <xdr:colOff>472179</xdr:colOff>
      <xdr:row>4</xdr:row>
      <xdr:rowOff>2</xdr:rowOff>
    </xdr:from>
    <xdr:to>
      <xdr:col>7</xdr:col>
      <xdr:colOff>591949</xdr:colOff>
      <xdr:row>14</xdr:row>
      <xdr:rowOff>21526</xdr:rowOff>
    </xdr:to>
    <xdr:graphicFrame macro="">
      <xdr:nvGraphicFramePr>
        <xdr:cNvPr id="2" name="Chart 1">
          <a:extLst>
            <a:ext uri="{FF2B5EF4-FFF2-40B4-BE49-F238E27FC236}">
              <a16:creationId xmlns:a16="http://schemas.microsoft.com/office/drawing/2014/main" id="{DCDD282F-F0EE-4265-B193-FD8D2C0CCB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166612</xdr:colOff>
      <xdr:row>4</xdr:row>
      <xdr:rowOff>5729</xdr:rowOff>
    </xdr:from>
    <xdr:to>
      <xdr:col>14</xdr:col>
      <xdr:colOff>146965</xdr:colOff>
      <xdr:row>14</xdr:row>
      <xdr:rowOff>26468</xdr:rowOff>
    </xdr:to>
    <xdr:graphicFrame macro="">
      <xdr:nvGraphicFramePr>
        <xdr:cNvPr id="3" name="Chart 2">
          <a:extLst>
            <a:ext uri="{FF2B5EF4-FFF2-40B4-BE49-F238E27FC236}">
              <a16:creationId xmlns:a16="http://schemas.microsoft.com/office/drawing/2014/main" id="{DE1FD5E2-D618-47C5-ACC7-E5497912A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419186</xdr:colOff>
      <xdr:row>15</xdr:row>
      <xdr:rowOff>160648</xdr:rowOff>
    </xdr:from>
    <xdr:to>
      <xdr:col>20</xdr:col>
      <xdr:colOff>284936</xdr:colOff>
      <xdr:row>25</xdr:row>
      <xdr:rowOff>181387</xdr:rowOff>
    </xdr:to>
    <xdr:graphicFrame macro="">
      <xdr:nvGraphicFramePr>
        <xdr:cNvPr id="4" name="Chart 3">
          <a:extLst>
            <a:ext uri="{FF2B5EF4-FFF2-40B4-BE49-F238E27FC236}">
              <a16:creationId xmlns:a16="http://schemas.microsoft.com/office/drawing/2014/main" id="{460B850C-6403-4997-AAA0-93E2D72EF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193728</xdr:colOff>
      <xdr:row>15</xdr:row>
      <xdr:rowOff>162574</xdr:rowOff>
    </xdr:from>
    <xdr:to>
      <xdr:col>14</xdr:col>
      <xdr:colOff>174081</xdr:colOff>
      <xdr:row>25</xdr:row>
      <xdr:rowOff>183313</xdr:rowOff>
    </xdr:to>
    <xdr:graphicFrame macro="">
      <xdr:nvGraphicFramePr>
        <xdr:cNvPr id="5" name="Chart 4">
          <a:extLst>
            <a:ext uri="{FF2B5EF4-FFF2-40B4-BE49-F238E27FC236}">
              <a16:creationId xmlns:a16="http://schemas.microsoft.com/office/drawing/2014/main" id="{2A1AA57D-0F33-485E-A2BA-834E9AA320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400314</xdr:colOff>
      <xdr:row>4</xdr:row>
      <xdr:rowOff>5732</xdr:rowOff>
    </xdr:from>
    <xdr:to>
      <xdr:col>20</xdr:col>
      <xdr:colOff>268654</xdr:colOff>
      <xdr:row>14</xdr:row>
      <xdr:rowOff>26471</xdr:rowOff>
    </xdr:to>
    <xdr:graphicFrame macro="">
      <xdr:nvGraphicFramePr>
        <xdr:cNvPr id="6" name="Chart 5">
          <a:extLst>
            <a:ext uri="{FF2B5EF4-FFF2-40B4-BE49-F238E27FC236}">
              <a16:creationId xmlns:a16="http://schemas.microsoft.com/office/drawing/2014/main" id="{0C510590-1E0B-47EC-BDAA-F16912489B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472180</xdr:colOff>
      <xdr:row>15</xdr:row>
      <xdr:rowOff>150677</xdr:rowOff>
    </xdr:from>
    <xdr:to>
      <xdr:col>7</xdr:col>
      <xdr:colOff>598239</xdr:colOff>
      <xdr:row>25</xdr:row>
      <xdr:rowOff>171416</xdr:rowOff>
    </xdr:to>
    <xdr:graphicFrame macro="">
      <xdr:nvGraphicFramePr>
        <xdr:cNvPr id="7" name="Chart 6">
          <a:extLst>
            <a:ext uri="{FF2B5EF4-FFF2-40B4-BE49-F238E27FC236}">
              <a16:creationId xmlns:a16="http://schemas.microsoft.com/office/drawing/2014/main" id="{54E385EC-583E-45F5-A766-AC82180309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599058</xdr:colOff>
      <xdr:row>2</xdr:row>
      <xdr:rowOff>236961</xdr:rowOff>
    </xdr:from>
    <xdr:to>
      <xdr:col>14</xdr:col>
      <xdr:colOff>0</xdr:colOff>
      <xdr:row>17</xdr:row>
      <xdr:rowOff>25561</xdr:rowOff>
    </xdr:to>
    <xdr:graphicFrame macro="">
      <xdr:nvGraphicFramePr>
        <xdr:cNvPr id="3" name="Chart 2">
          <a:extLst>
            <a:ext uri="{FF2B5EF4-FFF2-40B4-BE49-F238E27FC236}">
              <a16:creationId xmlns:a16="http://schemas.microsoft.com/office/drawing/2014/main" id="{ADF4D934-FBE1-4019-8A3C-BD24B15C2D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613832</xdr:colOff>
      <xdr:row>2</xdr:row>
      <xdr:rowOff>213781</xdr:rowOff>
    </xdr:from>
    <xdr:to>
      <xdr:col>11</xdr:col>
      <xdr:colOff>21166</xdr:colOff>
      <xdr:row>13</xdr:row>
      <xdr:rowOff>137583</xdr:rowOff>
    </xdr:to>
    <xdr:graphicFrame macro="">
      <xdr:nvGraphicFramePr>
        <xdr:cNvPr id="3" name="Chart 2">
          <a:extLst>
            <a:ext uri="{FF2B5EF4-FFF2-40B4-BE49-F238E27FC236}">
              <a16:creationId xmlns:a16="http://schemas.microsoft.com/office/drawing/2014/main" id="{8B1A5282-21C6-8D2C-318F-70B862D555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927071</xdr:colOff>
      <xdr:row>3</xdr:row>
      <xdr:rowOff>135</xdr:rowOff>
    </xdr:from>
    <xdr:to>
      <xdr:col>11</xdr:col>
      <xdr:colOff>564074</xdr:colOff>
      <xdr:row>17</xdr:row>
      <xdr:rowOff>53814</xdr:rowOff>
    </xdr:to>
    <xdr:graphicFrame macro="">
      <xdr:nvGraphicFramePr>
        <xdr:cNvPr id="3" name="Chart 2">
          <a:extLst>
            <a:ext uri="{FF2B5EF4-FFF2-40B4-BE49-F238E27FC236}">
              <a16:creationId xmlns:a16="http://schemas.microsoft.com/office/drawing/2014/main" id="{6598ED0A-F8CA-4A28-BD68-D4A953E8BA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25999</xdr:colOff>
      <xdr:row>3</xdr:row>
      <xdr:rowOff>34016</xdr:rowOff>
    </xdr:from>
    <xdr:to>
      <xdr:col>13</xdr:col>
      <xdr:colOff>39077</xdr:colOff>
      <xdr:row>16</xdr:row>
      <xdr:rowOff>48847</xdr:rowOff>
    </xdr:to>
    <xdr:graphicFrame macro="">
      <xdr:nvGraphicFramePr>
        <xdr:cNvPr id="2" name="Chart 1">
          <a:extLst>
            <a:ext uri="{FF2B5EF4-FFF2-40B4-BE49-F238E27FC236}">
              <a16:creationId xmlns:a16="http://schemas.microsoft.com/office/drawing/2014/main" id="{269FCB99-839E-6C57-A952-4CF7CE946F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853017</xdr:colOff>
      <xdr:row>2</xdr:row>
      <xdr:rowOff>169334</xdr:rowOff>
    </xdr:from>
    <xdr:to>
      <xdr:col>11</xdr:col>
      <xdr:colOff>8466</xdr:colOff>
      <xdr:row>13</xdr:row>
      <xdr:rowOff>175683</xdr:rowOff>
    </xdr:to>
    <xdr:graphicFrame macro="">
      <xdr:nvGraphicFramePr>
        <xdr:cNvPr id="2" name="Chart 1">
          <a:extLst>
            <a:ext uri="{FF2B5EF4-FFF2-40B4-BE49-F238E27FC236}">
              <a16:creationId xmlns:a16="http://schemas.microsoft.com/office/drawing/2014/main" id="{15E661CC-CFAF-B050-8AF0-72ECFBC4D8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19161</xdr:colOff>
      <xdr:row>2</xdr:row>
      <xdr:rowOff>178247</xdr:rowOff>
    </xdr:from>
    <xdr:to>
      <xdr:col>15</xdr:col>
      <xdr:colOff>579297</xdr:colOff>
      <xdr:row>16</xdr:row>
      <xdr:rowOff>155967</xdr:rowOff>
    </xdr:to>
    <xdr:graphicFrame macro="">
      <xdr:nvGraphicFramePr>
        <xdr:cNvPr id="2" name="Chart 1">
          <a:extLst>
            <a:ext uri="{FF2B5EF4-FFF2-40B4-BE49-F238E27FC236}">
              <a16:creationId xmlns:a16="http://schemas.microsoft.com/office/drawing/2014/main" id="{297E9E30-A9D1-8235-174B-C5459A0D05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612608</xdr:colOff>
      <xdr:row>4</xdr:row>
      <xdr:rowOff>43561</xdr:rowOff>
    </xdr:from>
    <xdr:to>
      <xdr:col>19</xdr:col>
      <xdr:colOff>603250</xdr:colOff>
      <xdr:row>18</xdr:row>
      <xdr:rowOff>22282</xdr:rowOff>
    </xdr:to>
    <mc:AlternateContent xmlns:mc="http://schemas.openxmlformats.org/markup-compatibility/2006" xmlns:a14="http://schemas.microsoft.com/office/drawing/2010/main">
      <mc:Choice Requires="a14">
        <xdr:graphicFrame macro="">
          <xdr:nvGraphicFramePr>
            <xdr:cNvPr id="3" name="Salesman">
              <a:extLst>
                <a:ext uri="{FF2B5EF4-FFF2-40B4-BE49-F238E27FC236}">
                  <a16:creationId xmlns:a16="http://schemas.microsoft.com/office/drawing/2014/main" id="{CB24FDB8-56FA-552C-F03D-653394A91053}"/>
                </a:ext>
              </a:extLst>
            </xdr:cNvPr>
            <xdr:cNvGraphicFramePr/>
          </xdr:nvGraphicFramePr>
          <xdr:xfrm>
            <a:off x="0" y="0"/>
            <a:ext cx="0" cy="0"/>
          </xdr:xfrm>
          <a:graphic>
            <a:graphicData uri="http://schemas.microsoft.com/office/drawing/2010/slicer">
              <sle:slicer xmlns:sle="http://schemas.microsoft.com/office/drawing/2010/slicer" name="Salesman"/>
            </a:graphicData>
          </a:graphic>
        </xdr:graphicFrame>
      </mc:Choice>
      <mc:Fallback xmlns="">
        <xdr:sp macro="" textlink="">
          <xdr:nvSpPr>
            <xdr:cNvPr id="0" name=""/>
            <xdr:cNvSpPr>
              <a:spLocks noTextEdit="1"/>
            </xdr:cNvSpPr>
          </xdr:nvSpPr>
          <xdr:spPr>
            <a:xfrm>
              <a:off x="14248397" y="945929"/>
              <a:ext cx="1828800" cy="2630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579190</xdr:colOff>
      <xdr:row>4</xdr:row>
      <xdr:rowOff>155965</xdr:rowOff>
    </xdr:from>
    <xdr:to>
      <xdr:col>23</xdr:col>
      <xdr:colOff>569832</xdr:colOff>
      <xdr:row>12</xdr:row>
      <xdr:rowOff>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B9861457-7552-7828-D54D-1527F02FBC1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665857" y="1058333"/>
              <a:ext cx="1828800" cy="13591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manna kumari" refreshedDate="46109.741013194442" createdVersion="8" refreshedVersion="8" minRefreshableVersion="3" recordCount="9" xr:uid="{53B6A51E-44F1-4BB5-9D8C-AB8B81148663}">
  <cacheSource type="worksheet">
    <worksheetSource name="data"/>
  </cacheSource>
  <cacheFields count="7">
    <cacheField name="Salesman" numFmtId="0">
      <sharedItems count="7">
        <s v="Ram"/>
        <s v="Shyam"/>
        <s v="Om"/>
        <s v="Raman"/>
        <s v="Deepak"/>
        <s v="Rihan"/>
        <s v="Anil"/>
      </sharedItems>
    </cacheField>
    <cacheField name="Region" numFmtId="0">
      <sharedItems count="3">
        <s v="North"/>
        <s v="West"/>
        <s v="East"/>
      </sharedItems>
    </cacheField>
    <cacheField name="State" numFmtId="0">
      <sharedItems/>
    </cacheField>
    <cacheField name="Department" numFmtId="0">
      <sharedItems count="3">
        <s v="Garments"/>
        <s v="Electronics"/>
        <s v="Furniture"/>
      </sharedItems>
    </cacheField>
    <cacheField name="Sale 2022" numFmtId="0">
      <sharedItems containsSemiMixedTypes="0" containsString="0" containsNumber="1" containsInteger="1" minValue="800" maxValue="2000"/>
    </cacheField>
    <cacheField name="Sale 2023" numFmtId="0">
      <sharedItems containsSemiMixedTypes="0" containsString="0" containsNumber="1" containsInteger="1" minValue="1100" maxValue="3200"/>
    </cacheField>
    <cacheField name="Total Sales" numFmtId="0">
      <sharedItems containsSemiMixedTypes="0" containsString="0" containsNumber="1" containsInteger="1" minValue="2040" maxValue="4480"/>
    </cacheField>
  </cacheFields>
  <extLst>
    <ext xmlns:x14="http://schemas.microsoft.com/office/spreadsheetml/2009/9/main" uri="{725AE2AE-9491-48be-B2B4-4EB974FC3084}">
      <x14:pivotCacheDefinition pivotCacheId="6019604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x v="0"/>
    <s v="Punjab"/>
    <x v="0"/>
    <n v="1200"/>
    <n v="1100"/>
    <n v="2300"/>
  </r>
  <r>
    <x v="1"/>
    <x v="1"/>
    <s v="Goa"/>
    <x v="0"/>
    <n v="1100"/>
    <n v="2100"/>
    <n v="3200"/>
  </r>
  <r>
    <x v="2"/>
    <x v="2"/>
    <s v="Bihar"/>
    <x v="1"/>
    <n v="1134"/>
    <n v="2200"/>
    <n v="3334"/>
  </r>
  <r>
    <x v="3"/>
    <x v="0"/>
    <s v="Punjab"/>
    <x v="1"/>
    <n v="1232"/>
    <n v="2100"/>
    <n v="3332"/>
  </r>
  <r>
    <x v="4"/>
    <x v="1"/>
    <s v="Gujarat"/>
    <x v="0"/>
    <n v="1150"/>
    <n v="1400"/>
    <n v="2550"/>
  </r>
  <r>
    <x v="0"/>
    <x v="0"/>
    <s v="Haryana"/>
    <x v="0"/>
    <n v="1200"/>
    <n v="1300"/>
    <n v="2500"/>
  </r>
  <r>
    <x v="5"/>
    <x v="1"/>
    <s v="Goa"/>
    <x v="1"/>
    <n v="2000"/>
    <n v="1500"/>
    <n v="3500"/>
  </r>
  <r>
    <x v="2"/>
    <x v="2"/>
    <s v="Jharkhand"/>
    <x v="2"/>
    <n v="1280"/>
    <n v="3200"/>
    <n v="4480"/>
  </r>
  <r>
    <x v="6"/>
    <x v="1"/>
    <s v="Goa"/>
    <x v="2"/>
    <n v="800"/>
    <n v="1240"/>
    <n v="20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878C89-7748-4991-B09E-68403912071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alesman">
  <location ref="E4:F12" firstHeaderRow="1" firstDataRow="1" firstDataCol="1"/>
  <pivotFields count="7">
    <pivotField axis="axisRow" showAll="0">
      <items count="8">
        <item x="6"/>
        <item x="4"/>
        <item x="2"/>
        <item x="0"/>
        <item x="3"/>
        <item x="5"/>
        <item x="1"/>
        <item t="default"/>
      </items>
    </pivotField>
    <pivotField showAll="0"/>
    <pivotField showAll="0"/>
    <pivotField showAll="0"/>
    <pivotField showAll="0"/>
    <pivotField showAll="0"/>
    <pivotField dataField="1" showAll="0"/>
  </pivotFields>
  <rowFields count="1">
    <field x="0"/>
  </rowFields>
  <rowItems count="8">
    <i>
      <x/>
    </i>
    <i>
      <x v="1"/>
    </i>
    <i>
      <x v="2"/>
    </i>
    <i>
      <x v="3"/>
    </i>
    <i>
      <x v="4"/>
    </i>
    <i>
      <x v="5"/>
    </i>
    <i>
      <x v="6"/>
    </i>
    <i t="grand">
      <x/>
    </i>
  </rowItems>
  <colItems count="1">
    <i/>
  </colItems>
  <dataFields count="1">
    <dataField name="Sum of Total Sales" fld="6" baseField="0" baseItem="0"/>
  </dataFields>
  <formats count="8">
    <format dxfId="34">
      <pivotArea outline="0" collapsedLevelsAreSubtotals="1" fieldPosition="0"/>
    </format>
    <format dxfId="33">
      <pivotArea dataOnly="0" labelOnly="1" outline="0" axis="axisValues" fieldPosition="0"/>
    </format>
    <format dxfId="32">
      <pivotArea type="all" dataOnly="0" outline="0" fieldPosition="0"/>
    </format>
    <format dxfId="31">
      <pivotArea outline="0" collapsedLevelsAreSubtotals="1" fieldPosition="0"/>
    </format>
    <format dxfId="30">
      <pivotArea field="0" type="button" dataOnly="0" labelOnly="1" outline="0" axis="axisRow" fieldPosition="0"/>
    </format>
    <format dxfId="29">
      <pivotArea dataOnly="0" labelOnly="1" fieldPosition="0">
        <references count="1">
          <reference field="0" count="0"/>
        </references>
      </pivotArea>
    </format>
    <format dxfId="28">
      <pivotArea dataOnly="0" labelOnly="1" grandRow="1" outline="0" fieldPosition="0"/>
    </format>
    <format dxfId="27">
      <pivotArea dataOnly="0" labelOnly="1" outline="0" axis="axisValues" fieldPosition="0"/>
    </format>
  </formats>
  <chartFormats count="2">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5DF833-4546-4547-87CD-41E70909711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Departments">
  <location ref="C4:D8" firstHeaderRow="1" firstDataRow="1" firstDataCol="1"/>
  <pivotFields count="7">
    <pivotField showAll="0"/>
    <pivotField showAll="0"/>
    <pivotField showAll="0"/>
    <pivotField axis="axisRow" showAll="0">
      <items count="4">
        <item x="1"/>
        <item x="2"/>
        <item x="0"/>
        <item t="default"/>
      </items>
    </pivotField>
    <pivotField showAll="0"/>
    <pivotField showAll="0"/>
    <pivotField dataField="1" showAll="0"/>
  </pivotFields>
  <rowFields count="1">
    <field x="3"/>
  </rowFields>
  <rowItems count="4">
    <i>
      <x/>
    </i>
    <i>
      <x v="1"/>
    </i>
    <i>
      <x v="2"/>
    </i>
    <i t="grand">
      <x/>
    </i>
  </rowItems>
  <colItems count="1">
    <i/>
  </colItems>
  <dataFields count="1">
    <dataField name="Sum of Total Sales" fld="6" baseField="0" baseItem="0"/>
  </dataFields>
  <formats count="6">
    <format dxfId="26">
      <pivotArea type="all" dataOnly="0" outline="0" fieldPosition="0"/>
    </format>
    <format dxfId="25">
      <pivotArea outline="0" collapsedLevelsAreSubtotals="1" fieldPosition="0"/>
    </format>
    <format dxfId="24">
      <pivotArea field="3" type="button" dataOnly="0" labelOnly="1" outline="0" axis="axisRow" fieldPosition="0"/>
    </format>
    <format dxfId="23">
      <pivotArea dataOnly="0" labelOnly="1" fieldPosition="0">
        <references count="1">
          <reference field="3" count="0"/>
        </references>
      </pivotArea>
    </format>
    <format dxfId="22">
      <pivotArea dataOnly="0" labelOnly="1" grandRow="1" outline="0" fieldPosition="0"/>
    </format>
    <format dxfId="21">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2" format="3">
      <pivotArea type="data" outline="0" fieldPosition="0">
        <references count="2">
          <reference field="4294967294" count="1" selected="0">
            <x v="0"/>
          </reference>
          <reference field="3"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3" count="1" selected="0">
            <x v="0"/>
          </reference>
        </references>
      </pivotArea>
    </chartFormat>
    <chartFormat chart="9" format="10">
      <pivotArea type="data" outline="0" fieldPosition="0">
        <references count="2">
          <reference field="4294967294" count="1" selected="0">
            <x v="0"/>
          </reference>
          <reference field="3" count="1" selected="0">
            <x v="1"/>
          </reference>
        </references>
      </pivotArea>
    </chartFormat>
    <chartFormat chart="9"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2351BC-827D-4394-9130-0EE952CD2FB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alesman">
  <location ref="C4:E12" firstHeaderRow="0" firstDataRow="1" firstDataCol="1"/>
  <pivotFields count="7">
    <pivotField axis="axisRow" showAll="0">
      <items count="8">
        <item x="6"/>
        <item x="4"/>
        <item x="2"/>
        <item x="0"/>
        <item x="3"/>
        <item x="5"/>
        <item x="1"/>
        <item t="default"/>
      </items>
    </pivotField>
    <pivotField showAll="0"/>
    <pivotField showAll="0"/>
    <pivotField showAll="0"/>
    <pivotField dataField="1" showAll="0"/>
    <pivotField dataField="1" showAll="0"/>
    <pivotField showAll="0"/>
  </pivotFields>
  <rowFields count="1">
    <field x="0"/>
  </rowFields>
  <rowItems count="8">
    <i>
      <x/>
    </i>
    <i>
      <x v="1"/>
    </i>
    <i>
      <x v="2"/>
    </i>
    <i>
      <x v="3"/>
    </i>
    <i>
      <x v="4"/>
    </i>
    <i>
      <x v="5"/>
    </i>
    <i>
      <x v="6"/>
    </i>
    <i t="grand">
      <x/>
    </i>
  </rowItems>
  <colFields count="1">
    <field x="-2"/>
  </colFields>
  <colItems count="2">
    <i>
      <x/>
    </i>
    <i i="1">
      <x v="1"/>
    </i>
  </colItems>
  <dataFields count="2">
    <dataField name="Sum of Sale 2022" fld="4" baseField="0" baseItem="0"/>
    <dataField name="Sum of Sale 2023" fld="5" baseField="0" baseItem="0"/>
  </dataFields>
  <formats count="6">
    <format dxfId="20">
      <pivotArea type="all" dataOnly="0" outline="0" fieldPosition="0"/>
    </format>
    <format dxfId="19">
      <pivotArea outline="0" collapsedLevelsAreSubtotals="1" fieldPosition="0"/>
    </format>
    <format dxfId="18">
      <pivotArea field="0" type="button" dataOnly="0" labelOnly="1" outline="0" axis="axisRow" fieldPosition="0"/>
    </format>
    <format dxfId="17">
      <pivotArea dataOnly="0" labelOnly="1" fieldPosition="0">
        <references count="1">
          <reference field="0" count="0"/>
        </references>
      </pivotArea>
    </format>
    <format dxfId="16">
      <pivotArea dataOnly="0" labelOnly="1" grandRow="1" outline="0" fieldPosition="0"/>
    </format>
    <format dxfId="15">
      <pivotArea dataOnly="0" labelOnly="1" outline="0" fieldPosition="0">
        <references count="1">
          <reference field="4294967294" count="2">
            <x v="0"/>
            <x v="1"/>
          </reference>
        </references>
      </pivotArea>
    </format>
  </formats>
  <chartFormats count="4">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BE8224-6BD2-4BE9-B082-0CDDDD4FF26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alesman_by_department">
  <location ref="C4:D16" firstHeaderRow="1" firstDataRow="1" firstDataCol="1"/>
  <pivotFields count="7">
    <pivotField axis="axisRow" showAll="0">
      <items count="8">
        <item x="6"/>
        <item x="4"/>
        <item x="2"/>
        <item x="0"/>
        <item x="3"/>
        <item x="5"/>
        <item x="1"/>
        <item t="default"/>
      </items>
    </pivotField>
    <pivotField showAll="0"/>
    <pivotField showAll="0"/>
    <pivotField axis="axisRow" showAll="0">
      <items count="4">
        <item x="1"/>
        <item x="2"/>
        <item x="0"/>
        <item t="default"/>
      </items>
    </pivotField>
    <pivotField showAll="0"/>
    <pivotField showAll="0"/>
    <pivotField dataField="1" showAll="0"/>
  </pivotFields>
  <rowFields count="2">
    <field x="3"/>
    <field x="0"/>
  </rowFields>
  <rowItems count="12">
    <i>
      <x/>
    </i>
    <i r="1">
      <x v="2"/>
    </i>
    <i r="1">
      <x v="4"/>
    </i>
    <i r="1">
      <x v="5"/>
    </i>
    <i>
      <x v="1"/>
    </i>
    <i r="1">
      <x/>
    </i>
    <i r="1">
      <x v="2"/>
    </i>
    <i>
      <x v="2"/>
    </i>
    <i r="1">
      <x v="1"/>
    </i>
    <i r="1">
      <x v="3"/>
    </i>
    <i r="1">
      <x v="6"/>
    </i>
    <i t="grand">
      <x/>
    </i>
  </rowItems>
  <colItems count="1">
    <i/>
  </colItems>
  <dataFields count="1">
    <dataField name="Sum of Total Sales" fld="6" baseField="0" baseItem="0"/>
  </dataFields>
  <formats count="8">
    <format dxfId="14">
      <pivotArea collapsedLevelsAreSubtotals="1" fieldPosition="0">
        <references count="1">
          <reference field="3" count="1">
            <x v="0"/>
          </reference>
        </references>
      </pivotArea>
    </format>
    <format dxfId="13">
      <pivotArea collapsedLevelsAreSubtotals="1" fieldPosition="0">
        <references count="2">
          <reference field="0" count="3">
            <x v="2"/>
            <x v="4"/>
            <x v="5"/>
          </reference>
          <reference field="3" count="1" selected="0">
            <x v="0"/>
          </reference>
        </references>
      </pivotArea>
    </format>
    <format dxfId="12">
      <pivotArea collapsedLevelsAreSubtotals="1" fieldPosition="0">
        <references count="1">
          <reference field="3" count="1">
            <x v="1"/>
          </reference>
        </references>
      </pivotArea>
    </format>
    <format dxfId="11">
      <pivotArea collapsedLevelsAreSubtotals="1" fieldPosition="0">
        <references count="2">
          <reference field="0" count="2">
            <x v="0"/>
            <x v="2"/>
          </reference>
          <reference field="3" count="1" selected="0">
            <x v="1"/>
          </reference>
        </references>
      </pivotArea>
    </format>
    <format dxfId="10">
      <pivotArea collapsedLevelsAreSubtotals="1" fieldPosition="0">
        <references count="1">
          <reference field="3" count="1">
            <x v="2"/>
          </reference>
        </references>
      </pivotArea>
    </format>
    <format dxfId="9">
      <pivotArea collapsedLevelsAreSubtotals="1" fieldPosition="0">
        <references count="2">
          <reference field="0" count="3">
            <x v="1"/>
            <x v="3"/>
            <x v="6"/>
          </reference>
          <reference field="3" count="1" selected="0">
            <x v="2"/>
          </reference>
        </references>
      </pivotArea>
    </format>
    <format dxfId="8">
      <pivotArea dataOnly="0" labelOnly="1" outline="0" axis="axisValues" fieldPosition="0"/>
    </format>
    <format dxfId="7">
      <pivotArea grandRow="1" outline="0" collapsedLevelsAreSubtotals="1" fieldPosition="0"/>
    </format>
  </formats>
  <chartFormats count="9">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0" format="7"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3F3F8C-A277-4979-88DD-F5F6E61A2A6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C4:E8" firstHeaderRow="0" firstDataRow="1" firstDataCol="1"/>
  <pivotFields count="7">
    <pivotField showAll="0"/>
    <pivotField axis="axisRow" showAll="0">
      <items count="4">
        <item x="2"/>
        <item x="0"/>
        <item x="1"/>
        <item t="default"/>
      </items>
    </pivotField>
    <pivotField showAll="0"/>
    <pivotField showAll="0"/>
    <pivotField dataField="1" showAll="0"/>
    <pivotField dataField="1" showAll="0"/>
    <pivotField showAll="0"/>
  </pivotFields>
  <rowFields count="1">
    <field x="1"/>
  </rowFields>
  <rowItems count="4">
    <i>
      <x/>
    </i>
    <i>
      <x v="1"/>
    </i>
    <i>
      <x v="2"/>
    </i>
    <i t="grand">
      <x/>
    </i>
  </rowItems>
  <colFields count="1">
    <field x="-2"/>
  </colFields>
  <colItems count="2">
    <i>
      <x/>
    </i>
    <i i="1">
      <x v="1"/>
    </i>
  </colItems>
  <dataFields count="2">
    <dataField name="Sum of Sale 2022" fld="4" baseField="0" baseItem="0"/>
    <dataField name="Sum of Sale 2023" fld="5" baseField="0" baseItem="0"/>
  </dataFields>
  <formats count="2">
    <format dxfId="6">
      <pivotArea outline="0" collapsedLevelsAreSubtotals="1" fieldPosition="0"/>
    </format>
    <format dxfId="5">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C57B8D-13F8-46EB-8CFA-22E6FB041C0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epartment_by_Salesman" colHeaderCaption="Region">
  <location ref="C4:G17" firstHeaderRow="1" firstDataRow="2" firstDataCol="1"/>
  <pivotFields count="7">
    <pivotField axis="axisRow" showAll="0" defaultSubtotal="0">
      <items count="7">
        <item x="6"/>
        <item x="4"/>
        <item x="2"/>
        <item x="0"/>
        <item x="3"/>
        <item x="5"/>
        <item x="1"/>
      </items>
    </pivotField>
    <pivotField axis="axisCol" showAll="0" defaultSubtotal="0">
      <items count="3">
        <item x="2"/>
        <item x="0"/>
        <item x="1"/>
      </items>
    </pivotField>
    <pivotField showAll="0" defaultSubtotal="0"/>
    <pivotField axis="axisRow" showAll="0" defaultSubtotal="0">
      <items count="3">
        <item x="1"/>
        <item x="2"/>
        <item x="0"/>
      </items>
    </pivotField>
    <pivotField showAll="0" defaultSubtotal="0"/>
    <pivotField showAll="0" defaultSubtotal="0"/>
    <pivotField dataField="1" showAll="0" defaultSubtotal="0"/>
  </pivotFields>
  <rowFields count="2">
    <field x="3"/>
    <field x="0"/>
  </rowFields>
  <rowItems count="12">
    <i>
      <x/>
    </i>
    <i r="1">
      <x v="2"/>
    </i>
    <i r="1">
      <x v="4"/>
    </i>
    <i r="1">
      <x v="5"/>
    </i>
    <i>
      <x v="1"/>
    </i>
    <i r="1">
      <x/>
    </i>
    <i r="1">
      <x v="2"/>
    </i>
    <i>
      <x v="2"/>
    </i>
    <i r="1">
      <x v="1"/>
    </i>
    <i r="1">
      <x v="3"/>
    </i>
    <i r="1">
      <x v="6"/>
    </i>
    <i t="grand">
      <x/>
    </i>
  </rowItems>
  <colFields count="1">
    <field x="1"/>
  </colFields>
  <colItems count="4">
    <i>
      <x/>
    </i>
    <i>
      <x v="1"/>
    </i>
    <i>
      <x v="2"/>
    </i>
    <i t="grand">
      <x/>
    </i>
  </colItems>
  <dataFields count="1">
    <dataField name="Sum of Total Sales" fld="6" baseField="0" baseItem="0"/>
  </dataFields>
  <formats count="5">
    <format dxfId="4">
      <pivotArea outline="0" collapsedLevelsAreSubtotals="1" fieldPosition="0"/>
    </format>
    <format dxfId="3">
      <pivotArea field="1" type="button" dataOnly="0" labelOnly="1" outline="0" axis="axisCol" fieldPosition="0"/>
    </format>
    <format dxfId="2">
      <pivotArea type="topRight" dataOnly="0" labelOnly="1" outline="0" fieldPosition="0"/>
    </format>
    <format dxfId="1">
      <pivotArea dataOnly="0" labelOnly="1" fieldPosition="0">
        <references count="1">
          <reference field="1" count="0"/>
        </references>
      </pivotArea>
    </format>
    <format dxfId="0">
      <pivotArea dataOnly="0" labelOnly="1" grandCol="1" outline="0" fieldPosition="0"/>
    </format>
  </format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3" format="6" series="1">
      <pivotArea type="data" outline="0" fieldPosition="0">
        <references count="2">
          <reference field="4294967294" count="1" selected="0">
            <x v="0"/>
          </reference>
          <reference field="1" count="1" selected="0">
            <x v="0"/>
          </reference>
        </references>
      </pivotArea>
    </chartFormat>
    <chartFormat chart="3" format="7" series="1">
      <pivotArea type="data" outline="0" fieldPosition="0">
        <references count="2">
          <reference field="4294967294" count="1" selected="0">
            <x v="0"/>
          </reference>
          <reference field="1" count="1" selected="0">
            <x v="1"/>
          </reference>
        </references>
      </pivotArea>
    </chartFormat>
    <chartFormat chart="3" format="8"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man" xr10:uid="{A286AF40-A4E3-4C84-A47F-5A2C19923E1C}" sourceName="Salesman">
  <pivotTables>
    <pivotTable tabId="9" name="PivotTable7"/>
  </pivotTables>
  <data>
    <tabular pivotCacheId="601960433">
      <items count="7">
        <i x="6" s="1"/>
        <i x="4" s="1"/>
        <i x="2" s="1"/>
        <i x="0" s="1"/>
        <i x="3"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A3ABFAA-9CEB-401E-BA09-B974EE73E381}" sourceName="Region">
  <pivotTables>
    <pivotTable tabId="9" name="PivotTable7"/>
  </pivotTables>
  <data>
    <tabular pivotCacheId="601960433">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man" xr10:uid="{C91D99C8-FC58-4C9E-A5D8-95829BA6781F}" cache="Slicer_Salesman" caption="Salesman" rowHeight="241300"/>
  <slicer name="Region" xr10:uid="{74146C71-876C-42BB-9E35-3591A8A0432A}"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05D224-4C00-466B-B5EA-0663466A3838}" name="data" displayName="data" ref="C2:I11" totalsRowShown="0" headerRowDxfId="45" headerRowBorderDxfId="44" tableBorderDxfId="43" totalsRowBorderDxfId="42">
  <autoFilter ref="C2:I11" xr:uid="{8305D224-4C00-466B-B5EA-0663466A3838}"/>
  <tableColumns count="7">
    <tableColumn id="1" xr3:uid="{14D46FF4-7813-4BF4-B5C0-C96E87B8F98E}" name="Salesman" dataDxfId="41"/>
    <tableColumn id="2" xr3:uid="{712DCF29-4C45-402C-8673-D592D0A91EA5}" name="Region" dataDxfId="40"/>
    <tableColumn id="3" xr3:uid="{D2D266E7-8FCE-47BD-910C-45A18F3B26CC}" name="State" dataDxfId="39"/>
    <tableColumn id="4" xr3:uid="{AEE04DAB-44B2-4A28-BD29-7E3DE998B5A8}" name="Department" dataDxfId="38"/>
    <tableColumn id="5" xr3:uid="{D9144C1F-CC44-4436-8060-3234933C1DF6}" name="Sale 2022" dataDxfId="37"/>
    <tableColumn id="6" xr3:uid="{6AE3E588-2C3A-4B4A-87C6-AAC4DAE524BE}" name="Sale 2023" dataDxfId="36"/>
    <tableColumn id="7" xr3:uid="{433EFE13-F9EE-4FC7-A1D7-70660D1C20C9}" name="Total Sales" dataDxfId="35">
      <calculatedColumnFormula>G3+H3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F72FF-A807-43EA-98FE-17F5F544A48D}">
  <dimension ref="C2:I11"/>
  <sheetViews>
    <sheetView topLeftCell="B1" zoomScale="60" workbookViewId="0">
      <selection activeCell="J21" sqref="J21"/>
    </sheetView>
  </sheetViews>
  <sheetFormatPr defaultRowHeight="14.5" x14ac:dyDescent="0.35"/>
  <cols>
    <col min="3" max="3" width="16.08984375" customWidth="1"/>
    <col min="4" max="4" width="12.26953125" customWidth="1"/>
    <col min="5" max="5" width="16.1796875" bestFit="1" customWidth="1"/>
    <col min="6" max="6" width="20" customWidth="1"/>
    <col min="7" max="8" width="15.90625" customWidth="1"/>
    <col min="9" max="9" width="17.7265625" customWidth="1"/>
  </cols>
  <sheetData>
    <row r="2" spans="3:9" ht="23.5" x14ac:dyDescent="0.55000000000000004">
      <c r="C2" s="7" t="s">
        <v>25</v>
      </c>
      <c r="D2" s="8" t="s">
        <v>0</v>
      </c>
      <c r="E2" s="8" t="s">
        <v>1</v>
      </c>
      <c r="F2" s="8" t="s">
        <v>2</v>
      </c>
      <c r="G2" s="8" t="s">
        <v>3</v>
      </c>
      <c r="H2" s="8" t="s">
        <v>4</v>
      </c>
      <c r="I2" s="9" t="s">
        <v>5</v>
      </c>
    </row>
    <row r="3" spans="3:9" ht="23.5" x14ac:dyDescent="0.55000000000000004">
      <c r="C3" s="5" t="s">
        <v>18</v>
      </c>
      <c r="D3" s="4" t="s">
        <v>6</v>
      </c>
      <c r="E3" s="2" t="s">
        <v>9</v>
      </c>
      <c r="F3" s="3" t="s">
        <v>15</v>
      </c>
      <c r="G3" s="2">
        <v>1200</v>
      </c>
      <c r="H3" s="1">
        <v>1100</v>
      </c>
      <c r="I3" s="6">
        <f>G3+H3</f>
        <v>2300</v>
      </c>
    </row>
    <row r="4" spans="3:9" ht="23.5" x14ac:dyDescent="0.55000000000000004">
      <c r="C4" s="5" t="s">
        <v>19</v>
      </c>
      <c r="D4" s="4" t="s">
        <v>8</v>
      </c>
      <c r="E4" s="2" t="s">
        <v>10</v>
      </c>
      <c r="F4" s="3" t="s">
        <v>15</v>
      </c>
      <c r="G4" s="2">
        <v>1100</v>
      </c>
      <c r="H4" s="1">
        <v>2100</v>
      </c>
      <c r="I4" s="6">
        <f t="shared" ref="I4:I11" si="0">G4+H4</f>
        <v>3200</v>
      </c>
    </row>
    <row r="5" spans="3:9" ht="23.5" x14ac:dyDescent="0.55000000000000004">
      <c r="C5" s="5" t="s">
        <v>20</v>
      </c>
      <c r="D5" s="4" t="s">
        <v>7</v>
      </c>
      <c r="E5" s="2" t="s">
        <v>11</v>
      </c>
      <c r="F5" s="3" t="s">
        <v>16</v>
      </c>
      <c r="G5" s="2">
        <v>1134</v>
      </c>
      <c r="H5" s="1">
        <v>2200</v>
      </c>
      <c r="I5" s="6">
        <f t="shared" si="0"/>
        <v>3334</v>
      </c>
    </row>
    <row r="6" spans="3:9" ht="23.5" x14ac:dyDescent="0.55000000000000004">
      <c r="C6" s="5" t="s">
        <v>21</v>
      </c>
      <c r="D6" s="4" t="s">
        <v>6</v>
      </c>
      <c r="E6" s="2" t="s">
        <v>9</v>
      </c>
      <c r="F6" s="3" t="s">
        <v>16</v>
      </c>
      <c r="G6" s="2">
        <v>1232</v>
      </c>
      <c r="H6" s="1">
        <v>2100</v>
      </c>
      <c r="I6" s="6">
        <f t="shared" si="0"/>
        <v>3332</v>
      </c>
    </row>
    <row r="7" spans="3:9" ht="23.5" x14ac:dyDescent="0.55000000000000004">
      <c r="C7" s="5" t="s">
        <v>22</v>
      </c>
      <c r="D7" s="4" t="s">
        <v>8</v>
      </c>
      <c r="E7" s="2" t="s">
        <v>12</v>
      </c>
      <c r="F7" s="3" t="s">
        <v>15</v>
      </c>
      <c r="G7" s="2">
        <v>1150</v>
      </c>
      <c r="H7" s="1">
        <v>1400</v>
      </c>
      <c r="I7" s="6">
        <f t="shared" si="0"/>
        <v>2550</v>
      </c>
    </row>
    <row r="8" spans="3:9" ht="23.5" x14ac:dyDescent="0.55000000000000004">
      <c r="C8" s="5" t="s">
        <v>18</v>
      </c>
      <c r="D8" s="4" t="s">
        <v>6</v>
      </c>
      <c r="E8" s="2" t="s">
        <v>13</v>
      </c>
      <c r="F8" s="3" t="s">
        <v>15</v>
      </c>
      <c r="G8" s="2">
        <v>1200</v>
      </c>
      <c r="H8" s="1">
        <v>1300</v>
      </c>
      <c r="I8" s="6">
        <f t="shared" si="0"/>
        <v>2500</v>
      </c>
    </row>
    <row r="9" spans="3:9" ht="23.5" x14ac:dyDescent="0.55000000000000004">
      <c r="C9" s="5" t="s">
        <v>23</v>
      </c>
      <c r="D9" s="4" t="s">
        <v>8</v>
      </c>
      <c r="E9" s="2" t="s">
        <v>10</v>
      </c>
      <c r="F9" s="3" t="s">
        <v>16</v>
      </c>
      <c r="G9" s="2">
        <v>2000</v>
      </c>
      <c r="H9" s="1">
        <v>1500</v>
      </c>
      <c r="I9" s="6">
        <f t="shared" si="0"/>
        <v>3500</v>
      </c>
    </row>
    <row r="10" spans="3:9" ht="23.5" x14ac:dyDescent="0.55000000000000004">
      <c r="C10" s="5" t="s">
        <v>20</v>
      </c>
      <c r="D10" s="4" t="s">
        <v>7</v>
      </c>
      <c r="E10" s="2" t="s">
        <v>14</v>
      </c>
      <c r="F10" s="3" t="s">
        <v>17</v>
      </c>
      <c r="G10" s="2">
        <v>1280</v>
      </c>
      <c r="H10" s="1">
        <v>3200</v>
      </c>
      <c r="I10" s="6">
        <f t="shared" si="0"/>
        <v>4480</v>
      </c>
    </row>
    <row r="11" spans="3:9" ht="23.5" x14ac:dyDescent="0.55000000000000004">
      <c r="C11" s="10" t="s">
        <v>24</v>
      </c>
      <c r="D11" s="11" t="s">
        <v>8</v>
      </c>
      <c r="E11" s="12" t="s">
        <v>10</v>
      </c>
      <c r="F11" s="13" t="s">
        <v>17</v>
      </c>
      <c r="G11" s="12">
        <v>800</v>
      </c>
      <c r="H11" s="14">
        <v>1240</v>
      </c>
      <c r="I11" s="15">
        <f t="shared" si="0"/>
        <v>2040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A5558-4B35-4F63-BDA7-487C7AA1910A}">
  <dimension ref="B1:U27"/>
  <sheetViews>
    <sheetView tabSelected="1" zoomScale="76" workbookViewId="0">
      <selection activeCell="Z10" sqref="Z10"/>
    </sheetView>
  </sheetViews>
  <sheetFormatPr defaultRowHeight="14.5" x14ac:dyDescent="0.35"/>
  <cols>
    <col min="12" max="12" width="8.7265625" customWidth="1"/>
    <col min="14" max="14" width="9.1796875" customWidth="1"/>
  </cols>
  <sheetData>
    <row r="1" spans="2:21" ht="8.5" customHeight="1" x14ac:dyDescent="0.35">
      <c r="B1" s="30"/>
      <c r="C1" s="30"/>
      <c r="D1" s="30"/>
      <c r="E1" s="30"/>
      <c r="F1" s="30"/>
      <c r="G1" s="30"/>
      <c r="H1" s="30"/>
      <c r="I1" s="30"/>
      <c r="J1" s="30"/>
      <c r="K1" s="30"/>
      <c r="L1" s="30"/>
      <c r="M1" s="30"/>
      <c r="N1" s="30"/>
      <c r="O1" s="30"/>
      <c r="P1" s="30"/>
      <c r="Q1" s="30"/>
      <c r="R1" s="30"/>
      <c r="S1" s="30"/>
      <c r="T1" s="30"/>
      <c r="U1" s="30"/>
    </row>
    <row r="2" spans="2:21" ht="19" customHeight="1" x14ac:dyDescent="0.55000000000000004">
      <c r="B2" s="30"/>
      <c r="C2" s="30"/>
      <c r="D2" s="30"/>
      <c r="E2" s="30"/>
      <c r="F2" s="30"/>
      <c r="G2" s="31"/>
      <c r="H2" s="32" t="s">
        <v>37</v>
      </c>
      <c r="I2" s="32"/>
      <c r="J2" s="32"/>
      <c r="K2" s="32"/>
      <c r="L2" s="32"/>
      <c r="M2" s="32"/>
      <c r="N2" s="32"/>
      <c r="O2" s="30"/>
      <c r="P2" s="30"/>
      <c r="Q2" s="30"/>
      <c r="R2" s="30"/>
      <c r="S2" s="30"/>
      <c r="T2" s="30"/>
      <c r="U2" s="30"/>
    </row>
    <row r="3" spans="2:21" ht="14.5" customHeight="1" x14ac:dyDescent="0.55000000000000004">
      <c r="B3" s="30"/>
      <c r="C3" s="30"/>
      <c r="D3" s="30"/>
      <c r="E3" s="30"/>
      <c r="F3" s="30"/>
      <c r="G3" s="31"/>
      <c r="H3" s="31"/>
      <c r="I3" s="31"/>
      <c r="J3" s="31"/>
      <c r="K3" s="31"/>
      <c r="L3" s="31"/>
      <c r="M3" s="30"/>
      <c r="N3" s="30"/>
      <c r="O3" s="30"/>
      <c r="P3" s="30"/>
      <c r="Q3" s="30"/>
      <c r="R3" s="30"/>
      <c r="S3" s="30"/>
      <c r="T3" s="30"/>
      <c r="U3" s="30"/>
    </row>
    <row r="4" spans="2:21" x14ac:dyDescent="0.35">
      <c r="B4" s="30"/>
      <c r="C4" s="30"/>
      <c r="D4" s="30"/>
      <c r="E4" s="30"/>
      <c r="F4" s="30"/>
      <c r="G4" s="30"/>
      <c r="H4" s="30"/>
      <c r="I4" s="30"/>
      <c r="J4" s="30"/>
      <c r="K4" s="30"/>
      <c r="L4" s="30"/>
      <c r="M4" s="30"/>
      <c r="N4" s="30"/>
      <c r="O4" s="30"/>
      <c r="P4" s="30"/>
      <c r="Q4" s="30"/>
      <c r="R4" s="30"/>
      <c r="S4" s="30"/>
      <c r="T4" s="30"/>
      <c r="U4" s="30"/>
    </row>
    <row r="5" spans="2:21" x14ac:dyDescent="0.35">
      <c r="B5" s="30"/>
      <c r="C5" s="30"/>
      <c r="D5" s="30"/>
      <c r="E5" s="30"/>
      <c r="F5" s="30"/>
      <c r="G5" s="30"/>
      <c r="H5" s="30"/>
      <c r="I5" s="30"/>
      <c r="J5" s="30"/>
      <c r="K5" s="30"/>
      <c r="L5" s="30"/>
      <c r="M5" s="30"/>
      <c r="N5" s="30"/>
      <c r="O5" s="30"/>
      <c r="P5" s="30"/>
      <c r="Q5" s="30"/>
      <c r="R5" s="30"/>
      <c r="S5" s="30"/>
      <c r="T5" s="30"/>
      <c r="U5" s="30"/>
    </row>
    <row r="6" spans="2:21" x14ac:dyDescent="0.35">
      <c r="B6" s="30"/>
      <c r="C6" s="30"/>
      <c r="D6" s="30"/>
      <c r="E6" s="30"/>
      <c r="F6" s="30"/>
      <c r="G6" s="30"/>
      <c r="H6" s="30"/>
      <c r="I6" s="30"/>
      <c r="J6" s="30"/>
      <c r="K6" s="30"/>
      <c r="L6" s="30"/>
      <c r="M6" s="30"/>
      <c r="N6" s="30"/>
      <c r="O6" s="30"/>
      <c r="P6" s="30"/>
      <c r="Q6" s="30"/>
      <c r="R6" s="30"/>
      <c r="S6" s="30"/>
      <c r="T6" s="30"/>
      <c r="U6" s="30"/>
    </row>
    <row r="7" spans="2:21" x14ac:dyDescent="0.35">
      <c r="B7" s="30"/>
      <c r="C7" s="30"/>
      <c r="D7" s="30"/>
      <c r="E7" s="30"/>
      <c r="F7" s="30"/>
      <c r="G7" s="30"/>
      <c r="H7" s="30"/>
      <c r="I7" s="30"/>
      <c r="J7" s="30"/>
      <c r="K7" s="30"/>
      <c r="L7" s="30"/>
      <c r="M7" s="30"/>
      <c r="N7" s="30"/>
      <c r="O7" s="30"/>
      <c r="P7" s="30"/>
      <c r="Q7" s="30"/>
      <c r="R7" s="30"/>
      <c r="S7" s="30"/>
      <c r="T7" s="30"/>
      <c r="U7" s="30"/>
    </row>
    <row r="8" spans="2:21" x14ac:dyDescent="0.35">
      <c r="B8" s="30"/>
      <c r="C8" s="30"/>
      <c r="D8" s="30"/>
      <c r="E8" s="30"/>
      <c r="F8" s="30"/>
      <c r="G8" s="30"/>
      <c r="H8" s="30"/>
      <c r="I8" s="30"/>
      <c r="J8" s="30"/>
      <c r="K8" s="30"/>
      <c r="L8" s="30"/>
      <c r="M8" s="30"/>
      <c r="N8" s="30"/>
      <c r="O8" s="30"/>
      <c r="P8" s="30"/>
      <c r="Q8" s="30"/>
      <c r="R8" s="30"/>
      <c r="S8" s="30"/>
      <c r="T8" s="30"/>
      <c r="U8" s="30"/>
    </row>
    <row r="9" spans="2:21" x14ac:dyDescent="0.35">
      <c r="B9" s="30"/>
      <c r="C9" s="30"/>
      <c r="D9" s="30"/>
      <c r="E9" s="30"/>
      <c r="F9" s="30"/>
      <c r="G9" s="30"/>
      <c r="H9" s="30"/>
      <c r="I9" s="30"/>
      <c r="J9" s="30"/>
      <c r="K9" s="30"/>
      <c r="L9" s="30"/>
      <c r="M9" s="30"/>
      <c r="N9" s="30"/>
      <c r="O9" s="30"/>
      <c r="P9" s="30"/>
      <c r="Q9" s="30"/>
      <c r="R9" s="30"/>
      <c r="S9" s="30"/>
      <c r="T9" s="30"/>
      <c r="U9" s="30"/>
    </row>
    <row r="10" spans="2:21" x14ac:dyDescent="0.35">
      <c r="B10" s="30"/>
      <c r="C10" s="30"/>
      <c r="D10" s="30"/>
      <c r="E10" s="30"/>
      <c r="F10" s="30"/>
      <c r="G10" s="30"/>
      <c r="H10" s="30"/>
      <c r="I10" s="30"/>
      <c r="J10" s="30"/>
      <c r="K10" s="30"/>
      <c r="L10" s="30"/>
      <c r="M10" s="30"/>
      <c r="N10" s="30"/>
      <c r="O10" s="30"/>
      <c r="P10" s="30"/>
      <c r="Q10" s="30"/>
      <c r="R10" s="30"/>
      <c r="S10" s="30"/>
      <c r="T10" s="30"/>
      <c r="U10" s="30"/>
    </row>
    <row r="11" spans="2:21" x14ac:dyDescent="0.35">
      <c r="B11" s="30"/>
      <c r="C11" s="30"/>
      <c r="D11" s="30"/>
      <c r="E11" s="30"/>
      <c r="F11" s="30"/>
      <c r="G11" s="30"/>
      <c r="H11" s="30"/>
      <c r="I11" s="30"/>
      <c r="J11" s="30"/>
      <c r="K11" s="30"/>
      <c r="L11" s="30"/>
      <c r="M11" s="30"/>
      <c r="N11" s="30"/>
      <c r="O11" s="30"/>
      <c r="P11" s="30"/>
      <c r="Q11" s="30"/>
      <c r="R11" s="30"/>
      <c r="S11" s="30"/>
      <c r="T11" s="30"/>
      <c r="U11" s="30"/>
    </row>
    <row r="12" spans="2:21" x14ac:dyDescent="0.35">
      <c r="B12" s="30"/>
      <c r="C12" s="30"/>
      <c r="D12" s="30"/>
      <c r="E12" s="30"/>
      <c r="F12" s="30"/>
      <c r="G12" s="30"/>
      <c r="H12" s="30"/>
      <c r="I12" s="30"/>
      <c r="J12" s="30"/>
      <c r="K12" s="30"/>
      <c r="L12" s="30"/>
      <c r="M12" s="30"/>
      <c r="N12" s="30"/>
      <c r="O12" s="30"/>
      <c r="P12" s="30"/>
      <c r="Q12" s="30"/>
      <c r="R12" s="30"/>
      <c r="S12" s="30"/>
      <c r="T12" s="30"/>
      <c r="U12" s="30"/>
    </row>
    <row r="13" spans="2:21" x14ac:dyDescent="0.35">
      <c r="B13" s="30"/>
      <c r="C13" s="30"/>
      <c r="D13" s="30"/>
      <c r="E13" s="30"/>
      <c r="F13" s="30"/>
      <c r="G13" s="30"/>
      <c r="H13" s="30"/>
      <c r="I13" s="30"/>
      <c r="J13" s="30"/>
      <c r="K13" s="30"/>
      <c r="L13" s="30"/>
      <c r="M13" s="30"/>
      <c r="N13" s="30"/>
      <c r="O13" s="30"/>
      <c r="P13" s="30"/>
      <c r="Q13" s="30"/>
      <c r="R13" s="30"/>
      <c r="S13" s="30"/>
      <c r="T13" s="30"/>
      <c r="U13" s="30"/>
    </row>
    <row r="14" spans="2:21" x14ac:dyDescent="0.35">
      <c r="B14" s="30"/>
      <c r="C14" s="30"/>
      <c r="D14" s="30"/>
      <c r="E14" s="30"/>
      <c r="F14" s="30"/>
      <c r="G14" s="30"/>
      <c r="H14" s="30"/>
      <c r="I14" s="30"/>
      <c r="J14" s="30"/>
      <c r="K14" s="30"/>
      <c r="L14" s="30"/>
      <c r="M14" s="30"/>
      <c r="N14" s="30"/>
      <c r="O14" s="30"/>
      <c r="P14" s="30"/>
      <c r="Q14" s="30"/>
      <c r="R14" s="30"/>
      <c r="S14" s="30"/>
      <c r="T14" s="30"/>
      <c r="U14" s="30"/>
    </row>
    <row r="15" spans="2:21" x14ac:dyDescent="0.35">
      <c r="B15" s="30"/>
      <c r="C15" s="30"/>
      <c r="D15" s="30"/>
      <c r="E15" s="30"/>
      <c r="F15" s="30"/>
      <c r="G15" s="30"/>
      <c r="H15" s="30"/>
      <c r="I15" s="30"/>
      <c r="J15" s="30"/>
      <c r="K15" s="30"/>
      <c r="L15" s="30"/>
      <c r="M15" s="30"/>
      <c r="N15" s="30"/>
      <c r="O15" s="30"/>
      <c r="P15" s="30"/>
      <c r="Q15" s="30"/>
      <c r="R15" s="30"/>
      <c r="S15" s="30"/>
      <c r="T15" s="30"/>
      <c r="U15" s="30"/>
    </row>
    <row r="16" spans="2:21" x14ac:dyDescent="0.35">
      <c r="B16" s="30"/>
      <c r="C16" s="30"/>
      <c r="D16" s="30"/>
      <c r="E16" s="30"/>
      <c r="F16" s="30"/>
      <c r="G16" s="30"/>
      <c r="H16" s="30"/>
      <c r="I16" s="30"/>
      <c r="J16" s="30"/>
      <c r="K16" s="30"/>
      <c r="L16" s="30"/>
      <c r="M16" s="30"/>
      <c r="N16" s="30"/>
      <c r="O16" s="30"/>
      <c r="P16" s="30"/>
      <c r="Q16" s="30"/>
      <c r="R16" s="30"/>
      <c r="S16" s="30"/>
      <c r="T16" s="30"/>
      <c r="U16" s="30"/>
    </row>
    <row r="17" spans="2:21" x14ac:dyDescent="0.35">
      <c r="B17" s="30"/>
      <c r="C17" s="30"/>
      <c r="D17" s="30"/>
      <c r="E17" s="30"/>
      <c r="F17" s="30"/>
      <c r="G17" s="30"/>
      <c r="H17" s="30"/>
      <c r="I17" s="30"/>
      <c r="J17" s="30"/>
      <c r="K17" s="30"/>
      <c r="L17" s="30"/>
      <c r="M17" s="30"/>
      <c r="N17" s="30"/>
      <c r="O17" s="30"/>
      <c r="P17" s="30"/>
      <c r="Q17" s="30"/>
      <c r="R17" s="30"/>
      <c r="S17" s="30"/>
      <c r="T17" s="30"/>
      <c r="U17" s="30"/>
    </row>
    <row r="18" spans="2:21" x14ac:dyDescent="0.35">
      <c r="B18" s="30"/>
      <c r="C18" s="30"/>
      <c r="D18" s="30"/>
      <c r="E18" s="30"/>
      <c r="F18" s="30"/>
      <c r="G18" s="30"/>
      <c r="H18" s="30"/>
      <c r="I18" s="30"/>
      <c r="J18" s="30"/>
      <c r="K18" s="30"/>
      <c r="L18" s="30"/>
      <c r="M18" s="30"/>
      <c r="N18" s="30"/>
      <c r="O18" s="30"/>
      <c r="P18" s="30"/>
      <c r="Q18" s="30"/>
      <c r="R18" s="30"/>
      <c r="S18" s="30"/>
      <c r="T18" s="30"/>
      <c r="U18" s="30"/>
    </row>
    <row r="19" spans="2:21" x14ac:dyDescent="0.35">
      <c r="B19" s="30"/>
      <c r="C19" s="30"/>
      <c r="D19" s="30"/>
      <c r="E19" s="30"/>
      <c r="F19" s="30"/>
      <c r="G19" s="30"/>
      <c r="H19" s="30"/>
      <c r="I19" s="30"/>
      <c r="J19" s="30"/>
      <c r="K19" s="30"/>
      <c r="L19" s="30"/>
      <c r="M19" s="30"/>
      <c r="N19" s="30"/>
      <c r="O19" s="30"/>
      <c r="P19" s="30"/>
      <c r="Q19" s="30"/>
      <c r="R19" s="30"/>
      <c r="S19" s="30"/>
      <c r="T19" s="30"/>
      <c r="U19" s="30"/>
    </row>
    <row r="20" spans="2:21" x14ac:dyDescent="0.35">
      <c r="B20" s="30"/>
      <c r="C20" s="30"/>
      <c r="D20" s="30"/>
      <c r="E20" s="30"/>
      <c r="F20" s="30"/>
      <c r="G20" s="30"/>
      <c r="H20" s="30"/>
      <c r="I20" s="30"/>
      <c r="J20" s="30"/>
      <c r="K20" s="30"/>
      <c r="L20" s="30"/>
      <c r="M20" s="30"/>
      <c r="N20" s="30"/>
      <c r="O20" s="30"/>
      <c r="P20" s="30"/>
      <c r="Q20" s="30"/>
      <c r="R20" s="30"/>
      <c r="S20" s="30"/>
      <c r="T20" s="30"/>
      <c r="U20" s="30"/>
    </row>
    <row r="21" spans="2:21" x14ac:dyDescent="0.35">
      <c r="B21" s="30"/>
      <c r="C21" s="30"/>
      <c r="D21" s="30"/>
      <c r="E21" s="30"/>
      <c r="F21" s="30"/>
      <c r="G21" s="30"/>
      <c r="H21" s="30"/>
      <c r="I21" s="30"/>
      <c r="J21" s="30"/>
      <c r="K21" s="30"/>
      <c r="L21" s="30"/>
      <c r="M21" s="30"/>
      <c r="N21" s="30"/>
      <c r="O21" s="30"/>
      <c r="P21" s="30"/>
      <c r="Q21" s="30"/>
      <c r="R21" s="30"/>
      <c r="S21" s="30"/>
      <c r="T21" s="30"/>
      <c r="U21" s="30"/>
    </row>
    <row r="22" spans="2:21" x14ac:dyDescent="0.35">
      <c r="B22" s="30"/>
      <c r="C22" s="30"/>
      <c r="D22" s="30"/>
      <c r="E22" s="30"/>
      <c r="F22" s="30"/>
      <c r="G22" s="30"/>
      <c r="H22" s="30"/>
      <c r="I22" s="30"/>
      <c r="J22" s="30"/>
      <c r="K22" s="30"/>
      <c r="L22" s="30"/>
      <c r="M22" s="30"/>
      <c r="N22" s="30"/>
      <c r="O22" s="30"/>
      <c r="P22" s="30"/>
      <c r="Q22" s="30"/>
      <c r="R22" s="30"/>
      <c r="S22" s="30"/>
      <c r="T22" s="30"/>
      <c r="U22" s="30"/>
    </row>
    <row r="23" spans="2:21" x14ac:dyDescent="0.35">
      <c r="B23" s="30"/>
      <c r="C23" s="30"/>
      <c r="D23" s="30"/>
      <c r="E23" s="30"/>
      <c r="F23" s="30"/>
      <c r="G23" s="30"/>
      <c r="H23" s="30"/>
      <c r="I23" s="30"/>
      <c r="J23" s="30"/>
      <c r="K23" s="30"/>
      <c r="L23" s="30"/>
      <c r="M23" s="30"/>
      <c r="N23" s="30"/>
      <c r="O23" s="30"/>
      <c r="P23" s="30"/>
      <c r="Q23" s="30"/>
      <c r="R23" s="30"/>
      <c r="S23" s="30"/>
      <c r="T23" s="30"/>
      <c r="U23" s="30"/>
    </row>
    <row r="24" spans="2:21" x14ac:dyDescent="0.35">
      <c r="B24" s="30"/>
      <c r="C24" s="30"/>
      <c r="D24" s="30"/>
      <c r="E24" s="30"/>
      <c r="F24" s="30"/>
      <c r="G24" s="30"/>
      <c r="H24" s="30"/>
      <c r="I24" s="30"/>
      <c r="J24" s="30"/>
      <c r="K24" s="30"/>
      <c r="L24" s="30"/>
      <c r="M24" s="30"/>
      <c r="N24" s="30"/>
      <c r="O24" s="30"/>
      <c r="P24" s="30"/>
      <c r="Q24" s="30"/>
      <c r="R24" s="30"/>
      <c r="S24" s="30"/>
      <c r="T24" s="30"/>
      <c r="U24" s="30"/>
    </row>
    <row r="25" spans="2:21" x14ac:dyDescent="0.35">
      <c r="B25" s="30"/>
      <c r="C25" s="30"/>
      <c r="D25" s="30"/>
      <c r="E25" s="30"/>
      <c r="F25" s="30"/>
      <c r="G25" s="30"/>
      <c r="H25" s="30"/>
      <c r="I25" s="30"/>
      <c r="J25" s="30"/>
      <c r="K25" s="30"/>
      <c r="L25" s="30"/>
      <c r="M25" s="30"/>
      <c r="N25" s="30"/>
      <c r="O25" s="30"/>
      <c r="P25" s="30"/>
      <c r="Q25" s="30"/>
      <c r="R25" s="30"/>
      <c r="S25" s="30"/>
      <c r="T25" s="30"/>
      <c r="U25" s="30"/>
    </row>
    <row r="26" spans="2:21" x14ac:dyDescent="0.35">
      <c r="B26" s="30"/>
      <c r="C26" s="30"/>
      <c r="D26" s="30"/>
      <c r="E26" s="30"/>
      <c r="F26" s="30"/>
      <c r="G26" s="30"/>
      <c r="H26" s="30"/>
      <c r="I26" s="30"/>
      <c r="J26" s="30"/>
      <c r="K26" s="30"/>
      <c r="L26" s="30"/>
      <c r="M26" s="30"/>
      <c r="N26" s="30"/>
      <c r="O26" s="30"/>
      <c r="P26" s="30"/>
      <c r="Q26" s="30"/>
      <c r="R26" s="30"/>
      <c r="S26" s="30"/>
      <c r="T26" s="30"/>
      <c r="U26" s="30"/>
    </row>
    <row r="27" spans="2:21" x14ac:dyDescent="0.35">
      <c r="B27" s="30"/>
      <c r="C27" s="30"/>
      <c r="D27" s="30"/>
      <c r="E27" s="30"/>
      <c r="F27" s="30"/>
      <c r="G27" s="30"/>
      <c r="H27" s="30"/>
      <c r="I27" s="30"/>
      <c r="J27" s="30"/>
      <c r="K27" s="30"/>
      <c r="L27" s="30"/>
      <c r="M27" s="30"/>
      <c r="N27" s="30"/>
      <c r="O27" s="30"/>
      <c r="P27" s="30"/>
      <c r="Q27" s="30"/>
      <c r="R27" s="30"/>
      <c r="S27" s="30"/>
      <c r="T27" s="30"/>
      <c r="U27" s="30"/>
    </row>
  </sheetData>
  <mergeCells count="1">
    <mergeCell ref="H2:N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A53F5-833F-47D0-8B7C-F2C829DFEEC5}">
  <dimension ref="E2:L12"/>
  <sheetViews>
    <sheetView topLeftCell="C1" zoomScale="53" zoomScaleNormal="100" workbookViewId="0">
      <selection activeCell="E2" sqref="E2:F2"/>
    </sheetView>
  </sheetViews>
  <sheetFormatPr defaultRowHeight="14.5" x14ac:dyDescent="0.35"/>
  <cols>
    <col min="1" max="1" width="13.1796875" bestFit="1" customWidth="1"/>
    <col min="2" max="2" width="12.36328125" bestFit="1" customWidth="1"/>
    <col min="3" max="3" width="23.1796875" customWidth="1"/>
    <col min="5" max="5" width="15.54296875" bestFit="1" customWidth="1"/>
    <col min="6" max="6" width="20.6328125" bestFit="1" customWidth="1"/>
    <col min="9" max="9" width="19.453125" bestFit="1" customWidth="1"/>
    <col min="10" max="10" width="17.90625" customWidth="1"/>
    <col min="11" max="11" width="17.6328125" bestFit="1" customWidth="1"/>
    <col min="12" max="12" width="22.90625" bestFit="1" customWidth="1"/>
  </cols>
  <sheetData>
    <row r="2" spans="5:12" ht="26" x14ac:dyDescent="0.6">
      <c r="E2" s="29" t="s">
        <v>33</v>
      </c>
      <c r="F2" s="29"/>
      <c r="J2" s="29" t="s">
        <v>34</v>
      </c>
      <c r="K2" s="29"/>
    </row>
    <row r="3" spans="5:12" ht="18.5" x14ac:dyDescent="0.45">
      <c r="K3" s="24"/>
      <c r="L3" s="24"/>
    </row>
    <row r="4" spans="5:12" ht="18.5" x14ac:dyDescent="0.45">
      <c r="E4" s="25" t="s">
        <v>25</v>
      </c>
      <c r="F4" s="26" t="s">
        <v>27</v>
      </c>
    </row>
    <row r="5" spans="5:12" ht="18.5" x14ac:dyDescent="0.45">
      <c r="E5" s="27" t="s">
        <v>24</v>
      </c>
      <c r="F5" s="26">
        <v>2040</v>
      </c>
    </row>
    <row r="6" spans="5:12" ht="18.5" x14ac:dyDescent="0.45">
      <c r="E6" s="27" t="s">
        <v>22</v>
      </c>
      <c r="F6" s="26">
        <v>2550</v>
      </c>
    </row>
    <row r="7" spans="5:12" ht="18.5" x14ac:dyDescent="0.45">
      <c r="E7" s="27" t="s">
        <v>20</v>
      </c>
      <c r="F7" s="26">
        <v>7814</v>
      </c>
    </row>
    <row r="8" spans="5:12" ht="18.5" x14ac:dyDescent="0.45">
      <c r="E8" s="27" t="s">
        <v>18</v>
      </c>
      <c r="F8" s="26">
        <v>4800</v>
      </c>
    </row>
    <row r="9" spans="5:12" ht="18.5" x14ac:dyDescent="0.45">
      <c r="E9" s="27" t="s">
        <v>21</v>
      </c>
      <c r="F9" s="26">
        <v>3332</v>
      </c>
    </row>
    <row r="10" spans="5:12" ht="18.5" x14ac:dyDescent="0.45">
      <c r="E10" s="27" t="s">
        <v>23</v>
      </c>
      <c r="F10" s="26">
        <v>3500</v>
      </c>
    </row>
    <row r="11" spans="5:12" ht="18.5" x14ac:dyDescent="0.45">
      <c r="E11" s="27" t="s">
        <v>19</v>
      </c>
      <c r="F11" s="26">
        <v>3200</v>
      </c>
    </row>
    <row r="12" spans="5:12" ht="18.5" x14ac:dyDescent="0.45">
      <c r="E12" s="27" t="s">
        <v>26</v>
      </c>
      <c r="F12" s="26">
        <v>27236</v>
      </c>
    </row>
  </sheetData>
  <mergeCells count="2">
    <mergeCell ref="E2:F2"/>
    <mergeCell ref="J2:K2"/>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6C903-BE7B-4D11-BD43-5C81E88F3413}">
  <dimension ref="C2:J11"/>
  <sheetViews>
    <sheetView zoomScale="60" workbookViewId="0">
      <selection activeCell="C2" sqref="C2:D2"/>
    </sheetView>
  </sheetViews>
  <sheetFormatPr defaultRowHeight="14.5" x14ac:dyDescent="0.35"/>
  <cols>
    <col min="1" max="1" width="13.1796875" bestFit="1" customWidth="1"/>
    <col min="2" max="2" width="12.36328125" bestFit="1" customWidth="1"/>
    <col min="3" max="3" width="19.453125" bestFit="1" customWidth="1"/>
    <col min="4" max="4" width="21" bestFit="1" customWidth="1"/>
    <col min="8" max="8" width="15.81640625" bestFit="1" customWidth="1"/>
    <col min="9" max="9" width="21" bestFit="1" customWidth="1"/>
    <col min="10" max="11" width="16.08984375" bestFit="1" customWidth="1"/>
  </cols>
  <sheetData>
    <row r="2" spans="3:10" ht="23" customHeight="1" x14ac:dyDescent="0.6">
      <c r="C2" s="29" t="s">
        <v>33</v>
      </c>
      <c r="D2" s="29"/>
      <c r="I2" s="29" t="s">
        <v>34</v>
      </c>
      <c r="J2" s="29"/>
    </row>
    <row r="3" spans="3:10" ht="18.5" x14ac:dyDescent="0.45">
      <c r="H3" s="24"/>
      <c r="I3" s="24"/>
      <c r="J3" s="24"/>
    </row>
    <row r="4" spans="3:10" ht="18.5" x14ac:dyDescent="0.45">
      <c r="C4" s="25" t="s">
        <v>30</v>
      </c>
      <c r="D4" s="24" t="s">
        <v>27</v>
      </c>
      <c r="E4" s="24"/>
      <c r="H4" s="24"/>
      <c r="I4" s="24"/>
      <c r="J4" s="24"/>
    </row>
    <row r="5" spans="3:10" ht="18.5" x14ac:dyDescent="0.45">
      <c r="C5" s="27" t="s">
        <v>16</v>
      </c>
      <c r="D5" s="24">
        <v>10166</v>
      </c>
      <c r="E5" s="24"/>
    </row>
    <row r="6" spans="3:10" ht="18.5" x14ac:dyDescent="0.45">
      <c r="C6" s="27" t="s">
        <v>17</v>
      </c>
      <c r="D6" s="24">
        <v>6520</v>
      </c>
      <c r="E6" s="24"/>
    </row>
    <row r="7" spans="3:10" ht="18.5" x14ac:dyDescent="0.45">
      <c r="C7" s="27" t="s">
        <v>15</v>
      </c>
      <c r="D7" s="24">
        <v>10550</v>
      </c>
      <c r="E7" s="24"/>
    </row>
    <row r="8" spans="3:10" ht="18.5" x14ac:dyDescent="0.45">
      <c r="C8" s="27" t="s">
        <v>26</v>
      </c>
      <c r="D8" s="24">
        <v>27236</v>
      </c>
      <c r="E8" s="24"/>
    </row>
    <row r="10" spans="3:10" ht="18.5" x14ac:dyDescent="0.45">
      <c r="H10" s="24"/>
      <c r="I10" s="24"/>
      <c r="J10" s="24"/>
    </row>
    <row r="11" spans="3:10" ht="18.5" x14ac:dyDescent="0.45">
      <c r="H11" s="24"/>
      <c r="I11" s="24"/>
      <c r="J11" s="24"/>
    </row>
  </sheetData>
  <mergeCells count="2">
    <mergeCell ref="C2:D2"/>
    <mergeCell ref="I2:J2"/>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AE3BB-199B-4538-A9BB-3582FD761E8F}">
  <dimension ref="C2:J24"/>
  <sheetViews>
    <sheetView zoomScale="59" workbookViewId="0">
      <selection activeCell="C2" sqref="C2:D2"/>
    </sheetView>
  </sheetViews>
  <sheetFormatPr defaultRowHeight="14.5" x14ac:dyDescent="0.35"/>
  <cols>
    <col min="1" max="1" width="13.1796875" bestFit="1" customWidth="1"/>
    <col min="2" max="2" width="12.36328125" bestFit="1" customWidth="1"/>
    <col min="3" max="3" width="15" bestFit="1" customWidth="1"/>
    <col min="4" max="5" width="16.453125" bestFit="1" customWidth="1"/>
    <col min="6" max="6" width="13.36328125" bestFit="1" customWidth="1"/>
    <col min="7" max="8" width="15.81640625" bestFit="1" customWidth="1"/>
    <col min="9" max="9" width="16.453125" bestFit="1" customWidth="1"/>
    <col min="10" max="10" width="19.1796875" customWidth="1"/>
  </cols>
  <sheetData>
    <row r="2" spans="3:10" ht="26" x14ac:dyDescent="0.6">
      <c r="C2" s="29" t="s">
        <v>33</v>
      </c>
      <c r="D2" s="29"/>
      <c r="E2" s="21"/>
      <c r="H2" s="29" t="s">
        <v>34</v>
      </c>
      <c r="I2" s="29"/>
      <c r="J2" s="21"/>
    </row>
    <row r="3" spans="3:10" ht="15.5" x14ac:dyDescent="0.35">
      <c r="E3" s="21"/>
    </row>
    <row r="4" spans="3:10" ht="15.5" x14ac:dyDescent="0.35">
      <c r="C4" s="22" t="s">
        <v>25</v>
      </c>
      <c r="D4" s="21" t="s">
        <v>28</v>
      </c>
      <c r="E4" s="21" t="s">
        <v>29</v>
      </c>
    </row>
    <row r="5" spans="3:10" ht="15.5" x14ac:dyDescent="0.35">
      <c r="C5" s="23" t="s">
        <v>24</v>
      </c>
      <c r="D5" s="21">
        <v>800</v>
      </c>
      <c r="E5" s="21">
        <v>1240</v>
      </c>
    </row>
    <row r="6" spans="3:10" ht="15.5" x14ac:dyDescent="0.35">
      <c r="C6" s="23" t="s">
        <v>22</v>
      </c>
      <c r="D6" s="21">
        <v>1150</v>
      </c>
      <c r="E6" s="21">
        <v>1400</v>
      </c>
    </row>
    <row r="7" spans="3:10" ht="15.5" x14ac:dyDescent="0.35">
      <c r="C7" s="23" t="s">
        <v>20</v>
      </c>
      <c r="D7" s="21">
        <v>2414</v>
      </c>
      <c r="E7" s="21">
        <v>5400</v>
      </c>
    </row>
    <row r="8" spans="3:10" ht="15.5" x14ac:dyDescent="0.35">
      <c r="C8" s="23" t="s">
        <v>18</v>
      </c>
      <c r="D8" s="21">
        <v>2400</v>
      </c>
      <c r="E8" s="21">
        <v>2400</v>
      </c>
    </row>
    <row r="9" spans="3:10" ht="15.5" x14ac:dyDescent="0.35">
      <c r="C9" s="23" t="s">
        <v>21</v>
      </c>
      <c r="D9" s="21">
        <v>1232</v>
      </c>
      <c r="E9" s="21">
        <v>2100</v>
      </c>
    </row>
    <row r="10" spans="3:10" ht="15.5" x14ac:dyDescent="0.35">
      <c r="C10" s="23" t="s">
        <v>23</v>
      </c>
      <c r="D10" s="21">
        <v>2000</v>
      </c>
      <c r="E10" s="21">
        <v>1500</v>
      </c>
    </row>
    <row r="11" spans="3:10" ht="15.5" x14ac:dyDescent="0.35">
      <c r="C11" s="23" t="s">
        <v>19</v>
      </c>
      <c r="D11" s="21">
        <v>1100</v>
      </c>
      <c r="E11" s="21">
        <v>2100</v>
      </c>
    </row>
    <row r="12" spans="3:10" ht="15.5" x14ac:dyDescent="0.35">
      <c r="C12" s="23" t="s">
        <v>26</v>
      </c>
      <c r="D12" s="21">
        <v>11096</v>
      </c>
      <c r="E12" s="21">
        <v>16140</v>
      </c>
    </row>
    <row r="24" spans="8:8" x14ac:dyDescent="0.35">
      <c r="H24" t="s">
        <v>35</v>
      </c>
    </row>
  </sheetData>
  <mergeCells count="2">
    <mergeCell ref="C2:D2"/>
    <mergeCell ref="H2:I2"/>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10821-BC91-4296-99FC-A485B755D7B0}">
  <dimension ref="C2:I16"/>
  <sheetViews>
    <sheetView zoomScale="65" workbookViewId="0">
      <selection activeCell="F20" sqref="F20"/>
    </sheetView>
  </sheetViews>
  <sheetFormatPr defaultRowHeight="14.5" x14ac:dyDescent="0.35"/>
  <cols>
    <col min="1" max="1" width="13.1796875" bestFit="1" customWidth="1"/>
    <col min="2" max="2" width="13.81640625" bestFit="1" customWidth="1"/>
    <col min="3" max="3" width="26.6328125" bestFit="1" customWidth="1"/>
    <col min="4" max="4" width="16.08984375" bestFit="1" customWidth="1"/>
    <col min="5" max="5" width="7.453125" customWidth="1"/>
    <col min="6" max="6" width="10.6328125" customWidth="1"/>
    <col min="7" max="7" width="6.6328125" bestFit="1" customWidth="1"/>
    <col min="8" max="8" width="14.81640625" customWidth="1"/>
    <col min="9" max="9" width="9.453125" customWidth="1"/>
    <col min="10" max="10" width="10.7265625" bestFit="1" customWidth="1"/>
    <col min="12" max="12" width="8.7265625" customWidth="1"/>
    <col min="13" max="13" width="12.6328125" customWidth="1"/>
    <col min="14" max="14" width="10.7265625" customWidth="1"/>
  </cols>
  <sheetData>
    <row r="2" spans="3:9" ht="26" x14ac:dyDescent="0.6">
      <c r="C2" s="29" t="s">
        <v>33</v>
      </c>
      <c r="D2" s="29"/>
      <c r="H2" s="29" t="s">
        <v>34</v>
      </c>
      <c r="I2" s="29"/>
    </row>
    <row r="4" spans="3:9" x14ac:dyDescent="0.35">
      <c r="C4" s="16" t="s">
        <v>31</v>
      </c>
      <c r="D4" s="19" t="s">
        <v>27</v>
      </c>
    </row>
    <row r="5" spans="3:9" x14ac:dyDescent="0.35">
      <c r="C5" s="17" t="s">
        <v>16</v>
      </c>
      <c r="D5" s="19">
        <v>10166</v>
      </c>
    </row>
    <row r="6" spans="3:9" x14ac:dyDescent="0.35">
      <c r="C6" s="18" t="s">
        <v>20</v>
      </c>
      <c r="D6" s="19">
        <v>3334</v>
      </c>
    </row>
    <row r="7" spans="3:9" x14ac:dyDescent="0.35">
      <c r="C7" s="18" t="s">
        <v>21</v>
      </c>
      <c r="D7" s="19">
        <v>3332</v>
      </c>
    </row>
    <row r="8" spans="3:9" x14ac:dyDescent="0.35">
      <c r="C8" s="18" t="s">
        <v>23</v>
      </c>
      <c r="D8" s="19">
        <v>3500</v>
      </c>
    </row>
    <row r="9" spans="3:9" x14ac:dyDescent="0.35">
      <c r="C9" s="17" t="s">
        <v>17</v>
      </c>
      <c r="D9" s="19">
        <v>6520</v>
      </c>
    </row>
    <row r="10" spans="3:9" x14ac:dyDescent="0.35">
      <c r="C10" s="18" t="s">
        <v>24</v>
      </c>
      <c r="D10" s="19">
        <v>2040</v>
      </c>
    </row>
    <row r="11" spans="3:9" x14ac:dyDescent="0.35">
      <c r="C11" s="18" t="s">
        <v>20</v>
      </c>
      <c r="D11" s="19">
        <v>4480</v>
      </c>
    </row>
    <row r="12" spans="3:9" x14ac:dyDescent="0.35">
      <c r="C12" s="17" t="s">
        <v>15</v>
      </c>
      <c r="D12" s="19">
        <v>10550</v>
      </c>
    </row>
    <row r="13" spans="3:9" x14ac:dyDescent="0.35">
      <c r="C13" s="18" t="s">
        <v>22</v>
      </c>
      <c r="D13" s="19">
        <v>2550</v>
      </c>
    </row>
    <row r="14" spans="3:9" x14ac:dyDescent="0.35">
      <c r="C14" s="18" t="s">
        <v>18</v>
      </c>
      <c r="D14" s="19">
        <v>4800</v>
      </c>
    </row>
    <row r="15" spans="3:9" x14ac:dyDescent="0.35">
      <c r="C15" s="18" t="s">
        <v>19</v>
      </c>
      <c r="D15" s="19">
        <v>3200</v>
      </c>
    </row>
    <row r="16" spans="3:9" x14ac:dyDescent="0.35">
      <c r="C16" s="17" t="s">
        <v>26</v>
      </c>
      <c r="D16" s="19">
        <v>27236</v>
      </c>
    </row>
  </sheetData>
  <mergeCells count="2">
    <mergeCell ref="C2:D2"/>
    <mergeCell ref="H2:I2"/>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3F33D-1129-49F8-8A4D-AA385EE909F7}">
  <dimension ref="C2:H8"/>
  <sheetViews>
    <sheetView zoomScale="64" zoomScaleNormal="100" workbookViewId="0">
      <selection activeCell="C2" sqref="C2:D2"/>
    </sheetView>
  </sheetViews>
  <sheetFormatPr defaultRowHeight="14.5" x14ac:dyDescent="0.35"/>
  <cols>
    <col min="1" max="1" width="13.1796875" bestFit="1" customWidth="1"/>
    <col min="2" max="2" width="12.36328125" bestFit="1" customWidth="1"/>
    <col min="3" max="3" width="15" bestFit="1" customWidth="1"/>
    <col min="4" max="5" width="16" bestFit="1" customWidth="1"/>
    <col min="6" max="6" width="12.36328125" bestFit="1" customWidth="1"/>
    <col min="7" max="8" width="15" bestFit="1" customWidth="1"/>
  </cols>
  <sheetData>
    <row r="2" spans="3:8" ht="26" x14ac:dyDescent="0.6">
      <c r="C2" s="29" t="s">
        <v>33</v>
      </c>
      <c r="D2" s="29"/>
      <c r="G2" s="29" t="s">
        <v>34</v>
      </c>
      <c r="H2" s="29"/>
    </row>
    <row r="4" spans="3:8" x14ac:dyDescent="0.35">
      <c r="C4" s="16" t="s">
        <v>0</v>
      </c>
      <c r="D4" s="19" t="s">
        <v>28</v>
      </c>
      <c r="E4" s="19" t="s">
        <v>29</v>
      </c>
    </row>
    <row r="5" spans="3:8" x14ac:dyDescent="0.35">
      <c r="C5" s="17" t="s">
        <v>7</v>
      </c>
      <c r="D5" s="19">
        <v>2414</v>
      </c>
      <c r="E5" s="19">
        <v>5400</v>
      </c>
    </row>
    <row r="6" spans="3:8" x14ac:dyDescent="0.35">
      <c r="C6" s="17" t="s">
        <v>6</v>
      </c>
      <c r="D6" s="19">
        <v>3632</v>
      </c>
      <c r="E6" s="19">
        <v>4500</v>
      </c>
    </row>
    <row r="7" spans="3:8" x14ac:dyDescent="0.35">
      <c r="C7" s="17" t="s">
        <v>8</v>
      </c>
      <c r="D7" s="19">
        <v>5050</v>
      </c>
      <c r="E7" s="19">
        <v>6240</v>
      </c>
    </row>
    <row r="8" spans="3:8" x14ac:dyDescent="0.35">
      <c r="C8" s="17" t="s">
        <v>26</v>
      </c>
      <c r="D8" s="19">
        <v>11096</v>
      </c>
      <c r="E8" s="19">
        <v>16140</v>
      </c>
    </row>
  </sheetData>
  <mergeCells count="2">
    <mergeCell ref="C2:D2"/>
    <mergeCell ref="G2:H2"/>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3A94D-3C5F-422A-AB84-A75F7947EA07}">
  <dimension ref="C2:T18"/>
  <sheetViews>
    <sheetView zoomScale="57" workbookViewId="0">
      <selection activeCell="H34" sqref="H34"/>
    </sheetView>
  </sheetViews>
  <sheetFormatPr defaultRowHeight="14.5" x14ac:dyDescent="0.35"/>
  <cols>
    <col min="1" max="1" width="13.1796875" bestFit="1" customWidth="1"/>
    <col min="2" max="2" width="12.1796875" customWidth="1"/>
    <col min="3" max="3" width="28.453125" bestFit="1" customWidth="1"/>
    <col min="4" max="4" width="14.90625" bestFit="1" customWidth="1"/>
    <col min="5" max="5" width="6.26953125" bestFit="1" customWidth="1"/>
    <col min="6" max="6" width="6.6328125" bestFit="1" customWidth="1"/>
    <col min="7" max="7" width="11.08984375" bestFit="1" customWidth="1"/>
    <col min="8" max="8" width="17.6328125" bestFit="1" customWidth="1"/>
    <col min="10" max="10" width="13.08984375" customWidth="1"/>
    <col min="11" max="11" width="11.08984375" bestFit="1" customWidth="1"/>
    <col min="12" max="12" width="16.7265625" customWidth="1"/>
  </cols>
  <sheetData>
    <row r="2" spans="3:20" ht="26" x14ac:dyDescent="0.6">
      <c r="C2" s="29" t="s">
        <v>33</v>
      </c>
      <c r="D2" s="29"/>
      <c r="K2" s="29" t="s">
        <v>34</v>
      </c>
      <c r="L2" s="29"/>
      <c r="M2" s="19"/>
      <c r="R2" s="29" t="s">
        <v>36</v>
      </c>
      <c r="S2" s="29"/>
      <c r="T2" s="28"/>
    </row>
    <row r="4" spans="3:20" x14ac:dyDescent="0.35">
      <c r="C4" s="16" t="s">
        <v>27</v>
      </c>
      <c r="D4" s="20" t="s">
        <v>0</v>
      </c>
      <c r="E4" s="19"/>
      <c r="F4" s="19"/>
      <c r="G4" s="19"/>
    </row>
    <row r="5" spans="3:20" x14ac:dyDescent="0.35">
      <c r="C5" s="16" t="s">
        <v>32</v>
      </c>
      <c r="D5" s="19" t="s">
        <v>7</v>
      </c>
      <c r="E5" s="19" t="s">
        <v>6</v>
      </c>
      <c r="F5" s="19" t="s">
        <v>8</v>
      </c>
      <c r="G5" s="19" t="s">
        <v>26</v>
      </c>
    </row>
    <row r="6" spans="3:20" x14ac:dyDescent="0.35">
      <c r="C6" s="17" t="s">
        <v>16</v>
      </c>
      <c r="D6" s="19"/>
      <c r="E6" s="19"/>
      <c r="F6" s="19"/>
      <c r="G6" s="19"/>
    </row>
    <row r="7" spans="3:20" x14ac:dyDescent="0.35">
      <c r="C7" s="18" t="s">
        <v>20</v>
      </c>
      <c r="D7" s="19">
        <v>3334</v>
      </c>
      <c r="E7" s="19"/>
      <c r="F7" s="19"/>
      <c r="G7" s="19">
        <v>3334</v>
      </c>
    </row>
    <row r="8" spans="3:20" x14ac:dyDescent="0.35">
      <c r="C8" s="18" t="s">
        <v>21</v>
      </c>
      <c r="D8" s="19"/>
      <c r="E8" s="19">
        <v>3332</v>
      </c>
      <c r="F8" s="19"/>
      <c r="G8" s="19">
        <v>3332</v>
      </c>
    </row>
    <row r="9" spans="3:20" x14ac:dyDescent="0.35">
      <c r="C9" s="18" t="s">
        <v>23</v>
      </c>
      <c r="D9" s="19"/>
      <c r="E9" s="19"/>
      <c r="F9" s="19">
        <v>3500</v>
      </c>
      <c r="G9" s="19">
        <v>3500</v>
      </c>
    </row>
    <row r="10" spans="3:20" x14ac:dyDescent="0.35">
      <c r="C10" s="17" t="s">
        <v>17</v>
      </c>
      <c r="D10" s="19"/>
      <c r="E10" s="19"/>
      <c r="F10" s="19"/>
      <c r="G10" s="19"/>
    </row>
    <row r="11" spans="3:20" x14ac:dyDescent="0.35">
      <c r="C11" s="18" t="s">
        <v>24</v>
      </c>
      <c r="D11" s="19"/>
      <c r="E11" s="19"/>
      <c r="F11" s="19">
        <v>2040</v>
      </c>
      <c r="G11" s="19">
        <v>2040</v>
      </c>
    </row>
    <row r="12" spans="3:20" x14ac:dyDescent="0.35">
      <c r="C12" s="18" t="s">
        <v>20</v>
      </c>
      <c r="D12" s="19">
        <v>4480</v>
      </c>
      <c r="E12" s="19"/>
      <c r="F12" s="19"/>
      <c r="G12" s="19">
        <v>4480</v>
      </c>
    </row>
    <row r="13" spans="3:20" x14ac:dyDescent="0.35">
      <c r="C13" s="17" t="s">
        <v>15</v>
      </c>
      <c r="D13" s="19"/>
      <c r="E13" s="19"/>
      <c r="F13" s="19"/>
      <c r="G13" s="19"/>
    </row>
    <row r="14" spans="3:20" x14ac:dyDescent="0.35">
      <c r="C14" s="18" t="s">
        <v>22</v>
      </c>
      <c r="D14" s="19"/>
      <c r="E14" s="19"/>
      <c r="F14" s="19">
        <v>2550</v>
      </c>
      <c r="G14" s="19">
        <v>2550</v>
      </c>
    </row>
    <row r="15" spans="3:20" x14ac:dyDescent="0.35">
      <c r="C15" s="18" t="s">
        <v>18</v>
      </c>
      <c r="D15" s="19"/>
      <c r="E15" s="19">
        <v>4800</v>
      </c>
      <c r="F15" s="19"/>
      <c r="G15" s="19">
        <v>4800</v>
      </c>
    </row>
    <row r="16" spans="3:20" x14ac:dyDescent="0.35">
      <c r="C16" s="18" t="s">
        <v>19</v>
      </c>
      <c r="D16" s="19"/>
      <c r="E16" s="19"/>
      <c r="F16" s="19">
        <v>3200</v>
      </c>
      <c r="G16" s="19">
        <v>3200</v>
      </c>
    </row>
    <row r="17" spans="3:11" x14ac:dyDescent="0.35">
      <c r="C17" s="17" t="s">
        <v>26</v>
      </c>
      <c r="D17" s="19">
        <v>7814</v>
      </c>
      <c r="E17" s="19">
        <v>8132</v>
      </c>
      <c r="F17" s="19">
        <v>11290</v>
      </c>
      <c r="G17" s="19">
        <v>27236</v>
      </c>
    </row>
    <row r="18" spans="3:11" x14ac:dyDescent="0.35">
      <c r="H18" s="19"/>
      <c r="I18" s="19"/>
      <c r="J18" s="19"/>
      <c r="K18" s="19"/>
    </row>
  </sheetData>
  <mergeCells count="3">
    <mergeCell ref="C2:D2"/>
    <mergeCell ref="K2:L2"/>
    <mergeCell ref="R2:S2"/>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Raw_Data</vt:lpstr>
      <vt:lpstr>All-Pivot-Chart</vt:lpstr>
      <vt:lpstr>Salesman vs Total Sales</vt:lpstr>
      <vt:lpstr>Department vs Total Sales</vt:lpstr>
      <vt:lpstr>Salesman vs Years Sales</vt:lpstr>
      <vt:lpstr>Depart-Salesman vs Total Sales</vt:lpstr>
      <vt:lpstr>Region vs Years Sales</vt:lpstr>
      <vt:lpstr>Dep-Salesman-Reg vs TotalSales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Sulabh Agrawal</dc:creator>
  <cp:lastModifiedBy>tamanna kumari</cp:lastModifiedBy>
  <dcterms:created xsi:type="dcterms:W3CDTF">2024-04-12T15:19:43Z</dcterms:created>
  <dcterms:modified xsi:type="dcterms:W3CDTF">2026-05-25T11:46:49Z</dcterms:modified>
</cp:coreProperties>
</file>